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rag-qa-webapp\backend\"/>
    </mc:Choice>
  </mc:AlternateContent>
  <xr:revisionPtr revIDLastSave="0" documentId="13_ncr:1_{0010A0B2-C118-4721-9F44-56FF054B64C6}" xr6:coauthVersionLast="47" xr6:coauthVersionMax="47" xr10:uidLastSave="{00000000-0000-0000-0000-000000000000}"/>
  <bookViews>
    <workbookView xWindow="14295" yWindow="0" windowWidth="14610" windowHeight="15585" activeTab="1" xr2:uid="{00000000-000D-0000-FFFF-FFFF00000000}"/>
  </bookViews>
  <sheets>
    <sheet name="评测明细" sheetId="1" r:id="rId1"/>
    <sheet name="指标汇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2" l="1"/>
  <c r="B8" i="2"/>
  <c r="B7" i="2"/>
  <c r="B5" i="2"/>
  <c r="B4" i="2"/>
  <c r="B11" i="2" l="1"/>
  <c r="B9" i="2"/>
  <c r="B6" i="2"/>
</calcChain>
</file>

<file path=xl/sharedStrings.xml><?xml version="1.0" encoding="utf-8"?>
<sst xmlns="http://schemas.openxmlformats.org/spreadsheetml/2006/main" count="379" uniqueCount="202">
  <si>
    <t>编号</t>
  </si>
  <si>
    <t>问题</t>
  </si>
  <si>
    <t>类型</t>
  </si>
  <si>
    <t>期望要点</t>
  </si>
  <si>
    <t>实际回答</t>
  </si>
  <si>
    <t>检索来源</t>
  </si>
  <si>
    <t>答案正确?(是/否)</t>
  </si>
  <si>
    <t>引用正确?(是/否/—)</t>
  </si>
  <si>
    <t>LangChain中一个最简单的LLM应用由哪几部分组成？</t>
  </si>
  <si>
    <t>应答</t>
  </si>
  <si>
    <t>提示词模板、语言模型（聊天模型）、输出解析器</t>
  </si>
  <si>
    <t>根据参考资料[1]，LangChain中一个最简单的LLM应用由以下两部分组成：
- **一次LLM调用**（即调用大语言模型进行推理）  
- **一些提示（Prompt）**（即设计好的输入指令，用于引导模型完成特定任务，例如“将以下英文翻译成中文”）
文中明确指出：“这是一个相对简单的 LLM 应用程序——它只是一个 LLM 调用加上一些提示。”并以英语到其他语言的翻译任务为例说明该结构[1]。
其他组件如链（Chain）、智能体（Agent）、记忆（Memory）等属于更高级或扩展功能，在最简单应用中并非必需[2]。
答案：一次LLM调用和一些提示[1]。</t>
  </si>
  <si>
    <t>LangChain教程-构建简单LLM应用.md、LangChain大模型应用开发-样章.pdf</t>
  </si>
  <si>
    <t>什么是提示词模板（PromptTemplate）？</t>
  </si>
  <si>
    <t>含模板字符串和输入变量，把用户输入填入固定提示词</t>
  </si>
  <si>
    <t>提示词模板（PromptTemplate）是 LangChain 中用于定义和格式化提示（prompt）的工具，它允许用户将静态文本模板与动态变量结合，从而生成针对不同输入定制的提示。例如，通过 `PromptTemplate.from_template()` 可以创建一个包含占位符（如 `{language}` 或 `{context}`）的模板，并在运行时用实际值填充[1][3]。
它支持多种 PromptTemplate 子类，如 `ChatPromptTemplate`，适用于聊天场景，可组合系统消息、人类消息和 AI 消息，并支持 `MessagesPlaceholder` 等高级占位符以处理消息序列[1][2]。
[1][2]</t>
  </si>
  <si>
    <t>LangChain教程-构建聊天机器人.md、LangChain教程-构建检索增强生成RAG应用.md</t>
  </si>
  <si>
    <t>LangChain如何让大模型流式输出？</t>
  </si>
  <si>
    <t>调用.stream()逐块/逐token获取输出（streaming）</t>
  </si>
  <si>
    <t>LangChain 通过将聊天模型设计为 **Runnables**（可运行组件），提供了标准化的流式调用接口，从而支持大模型的流式输出。具体方式如下：
- 聊天模型实现了 `.stream()` 方法，该方法可逐 token（或逐消息）返回生成内容；
- 调用 `model.stream(messages)` 即可迭代获取每个 token，例如：
  ```python
  for token in model.stream(messages):
      print(token.content, end="|")
  ```
  输出示例：`|C|iao|!||`，表明内容被按 token 流式输出[3]。
此外，在 LangGraph 应用中，还可通过 `app.stream(..., stream_mode="messages")` 实现更细粒度的流式控制，例如流式传输模型响应的每个消息片段[2]。
综上，LangChain 依赖 Runnable 接口统一抽象，使流式输出成为原生支持能力，无需额外适配即可对接兼容的 LLM。
[2][3]</t>
  </si>
  <si>
    <t>LangChain教程-构建聊天机器人.md、LangChain教程-构建简单LLM应用.md</t>
  </si>
  <si>
    <t>什么是检索增强生成（RAG）？</t>
  </si>
  <si>
    <t>先从外部知识库检索相关资料、再交给大模型生成答案；结合检索与生成、减少幻觉</t>
  </si>
  <si>
    <t>检索增强生成（RAG，Retrieval Augmented Generation）是一种将外部知识检索与大型语言模型（LLM）生成能力相结合的技术，用于提升问答（Q&amp;A）等应用的准确性与事实依据。它使模型能够在生成答案时参考特定源信息，而非仅依赖其训练时学到的参数化知识[1]。
RAG 应用通常包含两个核心组件：  
- **索引**：离线进行，负责从原始数据源摄取、处理并构建可检索的向量索引；  
- **检索和生成**：在线运行，接收用户查询，先检索相关文档片段，再将这些上下文与查询一并输入 LLM 生成最终答案[3]。
该技术广泛应用于需要强事实性与领域适配性的场景，如企业知识库问答、学术文献辅助检索等[1]。</t>
  </si>
  <si>
    <t>LangChain教程-构建检索增强生成RAG应用.md、LangChain教程-查询分析.md</t>
  </si>
  <si>
    <t>RAG的索引阶段包含哪些步骤？</t>
  </si>
  <si>
    <t>加载文档、切分文档、嵌入并存入向量库</t>
  </si>
  <si>
    <t>RAG的索引阶段包含以下步骤：
1. **数据加载（Load）**：从原始数据源（如网页、文档等）加载内容。例如，使用 `WebBaseLoader` 加载博客内容[2]。
2. **文档分块（Chunking）**：将加载的文档切分为更小、语义更连贯的文本块，以提升后续检索的简洁性与准确性。通常使用 `RecursiveCharacterTextSplitter`，可指定 `chunk_size`（如2000字符）[3]。
3. **嵌入向量化（Embedding）**：对每个文本块生成向量表示，使用嵌入模型（如 `OpenAIEmbeddings` 的 `"text-embedding-3-small"` 模型）[3]。
4. **向量存储索引（Indexing into vector store）**：将嵌入后的向量及对应文本块存入向量数据库（如 `Chroma`），构建可高效检索的索引[3]。
该阶段通常在离线状态下执行，属于 RAG 应用程序的预处理管道[1]。
[1][2][3]</t>
  </si>
  <si>
    <t>RAG的检索与生成阶段大致流程是什么？</t>
  </si>
  <si>
    <t>问题检索相关片段→把片段和问题填入提示词→大模型生成答案</t>
  </si>
  <si>
    <t>RAG 的检索与生成阶段大致流程如下：
- **检索阶段**：接收用户查询（`state["question"]`），调用向量数据库的相似性搜索方法（如 `vector_store.similarity_search`）从已索引的文档中检索出相关文档，结果存入 `state["context"]` 中[1]。
- **生成阶段**：将检索到的文档内容拼接为上下文字符串（`docs_content`），结合原始问题和该上下文，通过提示词模板（`prompt.invoke`）构造模型输入，再交由大语言模型（`llm.invoke`）生成最终回答[1]。
该流程属于 RAG 应用在运行时执行的核心链路，依赖于前期离线完成的**索引**（即数据摄取与向量化存储）[2]。
[1][2]</t>
  </si>
  <si>
    <t>LangChain教程-构建检索增强生成RAG应用.md</t>
  </si>
  <si>
    <t>文档为什么要切分成小块（chunk）？</t>
  </si>
  <si>
    <t>长文档无法整体嵌入/检索；切块提高检索精度、适配上下文长度</t>
  </si>
  <si>
    <t>文档需要切分成小块（chunk）的主要原因有以下两点，均来自参考资料：
1. **适应模型的上下文窗口限制**：许多语言模型具有有限的上下文窗口（即一次能处理的最大文本长度），而原始文档（如超过42k字符的博客文章或PDF）往往远超此限制。直接输入会导致截断或报错，因此需切分为适合模型输入的小块[2]。
2. **提升检索精度与语义完整性**：  
   - 页面级文档是“过于粗粒度的表示”，大块文本中相关答案可能被无关内容“冲淡”，影响检索效果；  
   - 切分后可确保检索到的是最相关的局部片段，而非整页噪声；  
   - 引入重叠（如200字符）可保留语句与其上下文的关联，避免语义割裂[3]。
综上，切分既是技术约束（模型输入限制）的必要应对，也是信息检索效果优化的关键步骤[2][3]。</t>
  </si>
  <si>
    <t>LangChain教程-构建检索增强生成RAG应用.md、LangChain教程-检索器.md</t>
  </si>
  <si>
    <t>RAG应用如何让答案返回引用来源？</t>
  </si>
  <si>
    <t>检索文档带元数据（source来源、page页码），随答案一并返回</t>
  </si>
  <si>
    <t>RAG 应用本身**不会自动返回引用来源**，但可以通过在 **`State` 结构中显式保留检索到的 `Document` 对象**，并在生成答案后将这些文档的元数据（如 `source`、`page` 等）一并输出，从而实现答案附带引用来源。
根据参考资料 [3]，RAG 应用的状态（`State`）定义为：
```python
from langchain_core.documents import Document  
from typing_extensions import List, TypedDict  
class State(TypedDict):  
    question: str  
    context: List[Document]  # ← 关键：检索到的原始文档被完整保留
    answer: str  
```
由于 `context` 字段是 `List[Document]` 类型，而 `Document` 对象包含 `.page_content` 和 `.metadata`（如 `{"source": "report.pdf", "page": 5}`），因此在生成 `answer` 后，应用可额外提取并返回这些 `metadata` 信息作为引用来源。
例如，可在链的最后一步将 `state["context"]` 中各文档的 `metadata["source"]` 和 `metadata.get("page")` 整理成引用列表，与 `answer` 一同返回。
LangChain 官方教程虽未在示例中展示具体“渲染引用”的代码，但明确指出 `context` 字段用于承载检索到的原始文档，为后续引用溯源提供数据基础[3]。
[3]</t>
  </si>
  <si>
    <t>本地RAG应用通常用什么加载本地文档？</t>
  </si>
  <si>
    <t>文档加载器Document Loader（如目录加载器、PDF/文本加载器）</t>
  </si>
  <si>
    <t>抱歉，知识库中没有相关信息。[1][2][3]</t>
  </si>
  <si>
    <t>LangChain教程-本地RAG应用.md</t>
  </si>
  <si>
    <t>多轮对话中如何让检索器听懂带代词的追问？</t>
  </si>
  <si>
    <t>历史感知检索器；先用对话历史把追问改写成独立问题再检索</t>
  </si>
  <si>
    <t>在多轮对话中，让检索器理解带代词的追问（如“它”“这个”“之前提到的”等），关键在于**将代词所指的上下文显式还原为具体实体或语义内容**，而非直接将含代词的原始问题送入检索器。
根据参考资料，LangChain 提供了两种主流机制来实现这一目标：
1. **链（Chains）方式**：通过预定义逻辑，在检索前**自动注入聊天历史并重写当前问题**，消除指代歧义。例如，使用 `ConversationBufferMemory` 或 `ConversationSummaryMemory` 管理历史，并结合 `ConversationalRetrievalChain`，其内部会将当前问题与历史消息拼接/摘要后生成**上下文感知的重写查询**（即参考资料[3]指出的：“模型在第二个问题中生成的查询融入了对话上下文”）[3]。
2. **代理（Agents）方式**：赋予 LLM 决策权，使其在执行过程中**自主判断是否需调用工具（如检索）及如何构造查询**。ReAct 代理会在每一步观察完整消息历史（包括先前的检索结果和用户反馈），从而生成语义明确、消解代词的中间查询——这正是 LangSmith 跟踪中可观察到的行为（如参考资料[1][3]所示）[1][3]。
因此，核心方法是：**不依赖检索器自身理解代词，而是由上层编排逻辑（链或代理）负责上下文感知的查询重写或生成**。
&gt; ✅ 实践建议：优先使用 `ConversationalRetrievalChain`（链）实现确定性重写；若需更灵活的多步推理（如追问需跨文档验证），则选用 ReAct 代理，并确保其提示模板明确要求“将代词替换为具体名词后再检索”[2][3]。
[1][2][3]</t>
  </si>
  <si>
    <t>LangChain教程-带聊天历史的问答.md</t>
  </si>
  <si>
    <t>聊天历史的状态管理主要解决什么问题？</t>
  </si>
  <si>
    <t>按会话保存/读取历史消息、按会话ID隔离、控制历史长度</t>
  </si>
  <si>
    <t>聊天历史的状态管理主要解决**多轮对话中消息的持久化与一致性维护问题**，即确保在多次交互调用中，聊天机器人能够记住并正确延续对话上下文，从而支持连贯、有状态的会话交互。
具体包括：
- **跨请求保持对话历史**：避免每次调用都丢失之前的用户与AI消息，实现真正的“会话感”；
- **状态一致性**：通过检查点（checkpointing）机制，在图节点执行过程中将消息持续附加到状态中，保证多轮调用间状态不丢失、不冲突；
- **支持生产级扩展**：结合数据库等持久化后端（如SQLite、PostgreSQL），满足实际应用中对历史可追溯、可恢复、可审计的需求[2][3]。
该管理机制是构建可靠聊天应用（尤其是需长期记忆或多线程对话场景）的基础能力。</t>
  </si>
  <si>
    <t>LangChain教程-带聊天历史的问答.md、LangChain教程-构建聊天机器人.md</t>
  </si>
  <si>
    <t>什么是智能体（Agent）？</t>
  </si>
  <si>
    <t>以LLM为推理引擎，自主决定调用哪些工具、执行行动并按结果循环直到完成任务</t>
  </si>
  <si>
    <t>智能体（Agent）是 LangChain 中的一种组件，它使用大型语言模型（LLM）作为推理引擎，来决定采取哪些行动以及执行这些行动所需的输入。在执行某个行动后，智能体可以将行动结果反馈给大型语言模型，由其判断是否需要继续执行更多行动，还是可以结束任务。这一过程通常通过工具调用（tool calling）实现[3]。</t>
  </si>
  <si>
    <t>LangChain教程-构建智能体Agent.md、LangChain教程-带聊天历史的问答.md</t>
  </si>
  <si>
    <t>Agent中的工具（tool）是什么？</t>
  </si>
  <si>
    <t>可供模型调用的函数/能力（搜索、计算等），用@tool定义、含名称和描述</t>
  </si>
  <si>
    <t>在Agent中，工具（tool）是指智能体可以调用以执行特定外部操作的函数或接口，例如搜索信息、查询天气、调用API等。根据参考资料，`tools` 是一个工具列表，例如示例中定义了 `tools = [search]`，表明 `search` 是一个可被Agent调用的具体工具[3]。该工具被传入 `create_react_agent(model, tools)`，用于构建具备行动能力的ReAct式智能体[2]。工具使Agent能够超越纯语言生成，与外部环境交互以获取实时或结构化信息。
因此，工具是Agent实现“感知-决策-行动”闭环中的关键执行单元。
[2][3]</t>
  </si>
  <si>
    <t>LangChain教程-构建智能体Agent.md</t>
  </si>
  <si>
    <t>智能体和普通聊天机器人的核心区别是什么？</t>
  </si>
  <si>
    <t>Agent能自主决策并调用外部工具、多步执行；普通聊天机器人主要做端到端对话</t>
  </si>
  <si>
    <t>根据参考资料，智能体（agent）与普通聊天机器人的核心区别在于：**智能体以大语言模型（LLM）作为其核心控制器（即“大脑”），被设计为自主的、面向目标的问题解决系统；而普通聊天机器人通常仅执行无状态、单轮次的对话响应，不具备自主规划、工具调用或长期目标导向的行为能力**。
具体体现为：
- 智能体是“LLM-powered autonomous agent system”，LLM 作为其“brain”，承担推理、决策和任务分解等控制职能[2]；
- 智能体具备构建自主行为的能力，如参考资料中提到的 AutoGPT、GPT-Engineer 和 BabyAGI 等原型系统，展示了其作为“powerful general problem solver”的潜力，远超生成文本（如文案、故事、程序）的范畴[3]；
- 当前示例中的智能体虽暂为“无状态”（不记忆历史交互）[1]，但其架构目标是支持状态管理、工具使用与多步推理——这与传统聊天机器人固有的被动响应、无目标导向、无行动能力的本质形成根本区别。
因此，核心区别不在于是否使用 LLM，而在于**系统级定位**：智能体是“以 LLM 为脑的自主代理”，强调目标驱动、环境交互与行动闭环；普通聊天机器人则是“以 LLM 为响应器的对话接口”，侧重即时、孤立的语言生成。
[2][3]</t>
  </si>
  <si>
    <t>LangChain教程-构建智能体Agent.md、LangChain教程-本地RAG应用.md、LangChain教程-构建检索增强生成RAG应用.md</t>
  </si>
  <si>
    <t>什么是工具调用（tool calling）？</t>
  </si>
  <si>
    <t>模型输出要调用的工具名与参数，程序执行后把结果回传模型继续作答</t>
  </si>
  <si>
    <t>工具调用（tool calling）是指语言模型在响应用户查询时，**主动识别需要外部能力支持的任务，并生成结构化的指令（即 `tool_calls`）来调用预定义的工具函数**，而非仅依赖自身参数化知识生成文本。
根据参考资料，工具调用的关键特征包括：
- 模型需通过 `.bind_tools(tools)` 显式绑定可用工具，从而获知工具的存在、名称与参数规范[3]；
- 当输入提示涉及需实时/外部数据（如“Search for the weather in SF”），模型会输出包含 `tool_calls` 字段的响应，表明其意图调用工具，同时 `content` 字段可能为辅助性自然语言说明（如“I'll help you search for information about the weather in San Francisco.”）[1]；
- 相比之下，对简单问候（如“Hi!”）等无需外部操作的输入，模型仅返回纯文本响应，`tool_calls` 为空[2]。
因此，工具调用是模型具备“规划—委托”能力的体现：它判断任务边界，将超出自身能力范围的操作交由专用工具执行，是构建可靠AI代理（AI agent）的核心机制。
[1][2][3]</t>
  </si>
  <si>
    <t>如何给智能体添加记忆？</t>
  </si>
  <si>
    <t>用检查点/记忆机制保存对话历史，运行时按会话/线程传入</t>
  </si>
  <si>
    <t>要给智能体添加记忆，需使用检查点保存器（如 `MemorySaver`），并在编译图时传入该保存器；同时，在调用智能体时需指定 `thread_id` 以标识对话线程，从而实现状态恢复与消息历史的持久化。
具体步骤如下：
1. 导入并初始化 `MemorySaver`：
   ```python
   from langgraph.checkpoint.memory import MemorySaver
   memory = MemorySaver()
   ```
2. 在编译图时传入 `checkpointer=memory`：
   ```python
   graph = graph_builder.compile(checkpointer=memory)
   ```
3. 调用智能体时，通过 `config` 指定唯一 `thread_id`：
   ```python
   config = {"configurable": {"thread_id": "abc123"}}
   ```
这样，智能体就能基于 `thread_id` 从内存中加载和保存对话状态，实现记忆功能[1][2]。</t>
  </si>
  <si>
    <t>LangChain中有哪几种聊天消息类型？</t>
  </si>
  <si>
    <t>HumanMessage人类消息、AIMessage的AI消息、SystemMessage系统消息</t>
  </si>
  <si>
    <t>根据参考资料，LangChain 中明确提到的聊天消息类型有：
- `HumanMessage`（用户消息）  
- `SystemMessage`（系统消息）  
参考资料 [1] 的 API 参考中列出了这两个类；[2] 再次确认了 `HumanMessage`；[3] 提到支持 OpenAI 格式（如 `{"role": "user", "content": "Hello"}`），但该格式属于输入表示方式，并非 LangChain 自身定义的消息类型类。LangChain 的核心消息类型以类形式定义，除 `HumanMessage` 和 `SystemMessage` 外，虽在实际使用中还常见 `AIMessage`、`ToolMessage` 等，但**参考资料中未提及这些类型**，因此不能依据本知识库作答。
故依据所提供资料，LangChain 中明确列出的聊天消息类型为：  
- `HumanMessage`  
- `SystemMessage`  
[1][2]</t>
  </si>
  <si>
    <t>LangChain教程-构建简单LLM应用.md、LangChain教程-构建聊天机器人.md</t>
  </si>
  <si>
    <t>什么是聊天消息的持久化？</t>
  </si>
  <si>
    <t>把对话历史保存到存储（内存/数据库等），跨会话或重启后仍可读取</t>
  </si>
  <si>
    <t>聊天消息的持久化是指将对话历史（如用户输入和AI响应）**长期保存到外部存储系统（如数据库）中**，以便在后续交互中能够读取、恢复和延续上下文，从而支持多轮、有状态的对话。
根据参考资料，持久化使聊天机器人能够：
- 自动保存和恢复消息历史，简化多轮对话开发[1]；
- 支持多个用户并行对话（通过 `thread_id` 区分不同会话线程）[2]；
- 在生产环境中可靠地读取和更新聊天历史[3]；
- 依赖 LangGraph 的内置持久化层（如检查点器）实现状态一致性[3]。
例如，通过配置 `config = {"configurable": {"thread_id": "abc123"}}`，系统可将该线程的所有消息持久化，后续调用时即可复现完整对话上下文[2]。
因此，聊天消息持久化本质上是**对话状态的跨请求存储与复用机制**。[1][2][3]</t>
  </si>
  <si>
    <t>LangChain教程-构建聊天机器人.md、LangChain教程-带聊天历史的问答.md</t>
  </si>
  <si>
    <t>为什么要管理和裁剪对话历史？</t>
  </si>
  <si>
    <t>历史太长会超出上下文窗口、增加成本；只保留最近/相关消息</t>
  </si>
  <si>
    <t>需要管理和裁剪对话历史，主要是为了避免消息列表无限增长，从而防止超出大语言模型（LLM）的上下文窗口限制。若不加限制，累积的对话历史会占用过多上下文空间，可能导致模型无法处理新输入、响应质量下降，甚至引发截断或报错[1]。
此外，裁剪操作需在提示模板**之前**、但在加载先前消息历史**之后**执行，以确保传入模型的上下文既包含必要的历史信息，又严格控制在模型可接受的长度范围内[1]。
值得注意的是，过度裁剪（如移除早期关键信息）会导致模型丢失上下文依赖的事实（例如用户姓名），从而影响回答准确性[2]。
因此，合理管理对话历史是在上下文相关性与模型容量约束之间取得平衡的关键步骤。</t>
  </si>
  <si>
    <t>什么是文本嵌入（embedding）？</t>
  </si>
  <si>
    <t>把文本转成语义向量；语义相近的文本向量距离更近</t>
  </si>
  <si>
    <t>文本嵌入（text embedding）是一种将文本（如单词、句子或段落）映射为固定长度的稠密向量（即实数数组）的技术。这些向量在高维空间中捕捉语义信息，使得语义相似的文本在向量空间中距离更近，从而支持下游任务，如语义搜索、聚类、分类和相似度计算。
参考资料中未对“文本嵌入”的定义进行具体解释，仅多次提及需“选择 [嵌入模型](&lt;/docs/integrations/text_embedding/&gt;)”这一操作指引，但未展开其概念内涵[1][2][3]。
抱歉，知识库中没有相关信息。</t>
  </si>
  <si>
    <t>LangChain教程-带聊天历史的问答.md、LangChain教程-构建检索增强生成RAG应用.md、LangChain教程-检索器.md</t>
  </si>
  <si>
    <t>什么是向量存储（vector store）？</t>
  </si>
  <si>
    <t>存储文档向量并支持相似度检索的数据库，如Chroma</t>
  </si>
  <si>
    <t>向量存储（VectorStore）是 LangChain 中的一个对象，它包含将文本和 `Document` 对象添加到存储库中，以及使用各种相似性度量对它们进行查询的方法。向量存储通常使用嵌入模型进行初始化，该模型决定了文本数据如何被转换为数值向量（即嵌入向量），从而支持高效的相似性搜索[1]。</t>
  </si>
  <si>
    <t>LangChain教程-检索器.md、LangChain教程-构建检索增强生成RAG应用.md</t>
  </si>
  <si>
    <t>MMR（最大边际相关性）检索解决什么问题？</t>
  </si>
  <si>
    <t>平衡相关性与多样性，避免召回片段重复，选出既相关又有差异的内容</t>
  </si>
  <si>
    <t>MMR（最大边际相关性）检索解决的问题是：**在信息检索中平衡查询与文档的相关性（relevance）和检索结果之间的多样性（diversity）**。
具体来说，传统的相似度搜索（如 `"similarity"`）倾向于返回与查询向量最接近的多个文档，但这些文档可能彼此高度相似（冗余），导致检索结果缺乏覆盖广度。而 MMR 通过在排序过程中引入“边际相关性”机制，优先选择既与查询相关、又与已选文档差异较大的新文档，从而提升结果集的**信息丰富度和代表性**。
参考资料明确指出：MMR 用于“**以平衡查询相似性和检索结果的多样性**”[2]；同时，`VectorStoreRetriever` 支持 `"mmr"` 搜索类型，作为对默认 `"similarity"` 的增强替代方案[1]。
因此，MMR 主要解决的是**检索结果冗余、多样性不足**的问题，适用于需要覆盖多角度信息的场景（如 RAG 中避免上下文重复、提升答案全面性）。
[1][2]</t>
  </si>
  <si>
    <t>LangChain教程-检索器.md、动手学深度学习.pdf</t>
  </si>
  <si>
    <t>文档分割常用什么分割器？</t>
  </si>
  <si>
    <t>文本分割器TextSplitter，如递归字符文本分割器</t>
  </si>
  <si>
    <t>文档分割常用 `RecursiveCharacterTextSplitter`。该分割器会递归地使用换行符等常见分隔符对文本进行分割，直至每个块达到指定大小（如 `chunk_size=1000`），适用于通用文本用例，是推荐的文本分割器[2]。</t>
  </si>
  <si>
    <t>为什么需要查询分析（query analysis）？</t>
  </si>
  <si>
    <t>原始问题可能含混或含多个条件，直接检索效果差，需先改写或结构化</t>
  </si>
  <si>
    <t>需要查询分析（query analysis）是因为直接将原始用户问题传递给检索系统可能导致**故障模式**，例如：
- 检索结果与时间要求不符（如用户明确要求“2023年的视频”，却返回了2024年的结果）[3]；  
- 无法根据文档属性（如日期、作者、类型等）进行过滤，因为基础检索仅基于文档内容的语义相似度，缺乏结构化理解能力[3]；  
- 用户隐含的过滤条件（如时间范围、文档类型、语言等）未被识别和利用，导致相关性下降。
通过查询分析，可将自然语言问题解析为**结构化查询**（例如包含日期过滤器的查询模式），再结合函数调用模型实现语义到结构的转换，从而提升检索的准确性和可控性[2][3]。</t>
  </si>
  <si>
    <t>查询分析可以生成什么来改善检索？</t>
  </si>
  <si>
    <t>结构化查询/元数据过滤条件，或改写后的检索语句</t>
  </si>
  <si>
    <t>查询分析可以生成**结构化查询**来改善检索[2]。  
具体而言，它通过函数调用模型将用户原始问题转换为包含过滤条件（如日期过滤器）的结构化查询，从而支持基于文档元数据（如 `section`、年份等）进行精准过滤，提升检索的相关性和准确性[2][3]。</t>
  </si>
  <si>
    <t>信息提取（information extraction）是做什么的？</t>
  </si>
  <si>
    <t>从非结构化文本中抽取结构化信息，如实体及其属性</t>
  </si>
  <si>
    <t>信息提取（information extraction）是从非结构化文本中提取结构化信息的过程[1]。</t>
  </si>
  <si>
    <t>LangChain教程-信息提取.md</t>
  </si>
  <si>
    <t>信息提取时为什么要定义模式（schema）？</t>
  </si>
  <si>
    <t>规定要抽取的字段和类型，让模型按统一结构输出</t>
  </si>
  <si>
    <t>定义模式（schema）在信息提取中的作用主要有以下两点，均基于参考资料：
1. **提升LLM信息提取质量**：通过为模式（如Pydantic模型）及其属性添加清晰的文档字符串（doc-string），这些描述会被发送给大语言模型（LLM），作为其理解“应提取什么、如何解释字段”的关键上下文，从而显著提高结构化信息提取的准确性与一致性[1][2]。
2. **防止模型编造信息**：模式中合理使用类型提示（如`Optional`）并配合明确说明（如“允许LLM在不知道答案时输出`None`”），可约束模型避免幻觉（hallucination），确保仅在原文本中存在明确依据时才填充字段，否则返回空值，保障提取结果的可靠性[1]。
综上，定义模式既是向LLM传递语义指令的桥梁，也是实施提取行为约束的重要机制。[1][2]</t>
  </si>
  <si>
    <t>如何一次提取多个实体？</t>
  </si>
  <si>
    <t>在模式中定义多个实体/字段，模型一次抽取并返回列表</t>
  </si>
  <si>
    <t>要一次提取多个实体，应使用支持**多实体提取**的模式。根据参考资料，在大多数情况下，您应该提取**实体列表**而非单个实体；该模式也允许在文本中无相关信息时返回**空列表**，这有助于明确指定实体的**必填属性**，同时不强制模型虚构或误检实体[1][2]。
此外，可通过**少样本提示（few-shot prompting）** 引导模型行为：提供输入与对应响应的消息对序列（尤其适用于聊天模型），以示范如何正确识别并输出多个实体的列表格式[2]。
综上，实现多实体提取的关键方法包括：
- 使用支持列表输出的结构化提取模式；
- 在提示中明确要求返回实体列表（允许空列表）；
- 结合参考示例（few-shot examples）强化模型对多实体识别和格式化的理解[2][3]。
[1][2]</t>
  </si>
  <si>
    <t>LangChain主要用来做什么？</t>
  </si>
  <si>
    <t>构建基于大语言模型的应用，提供模型、提示词、链、检索、Agent等组件与编排</t>
  </si>
  <si>
    <t>LangChain 主要用来构建面向大规模语言模型（LLM）的应用程序，通过提供一套模块化、可组合的组件（如链、智能体、记忆等），帮助开发者克服大语言模型的固有局限性（如幻觉、缺乏实时数据、无状态性等），从而构建更可靠、可控、可扩展的 LLM 应用[2]。
具体而言，LangChain 支持：
- 将 LLM 调用与提示工程结合，实现特定任务（如翻译、摘要、问答）；
- 构建“链”（Chains）以编排多个步骤或组件（如检索+生成）；
- 实现“智能体”（Agents）以支持基于工具调用的动态推理；
- 集成“记忆”（Memory）以维持对话状态或长期上下文[2]。
例如，官方教程中即使用 LangChain 快速构建了一个英语到其他语言的翻译应用，仅需一次 LLM 调用加结构化提示即可实现[3]。
[2][3]</t>
  </si>
  <si>
    <t>LangChain大模型应用开发-样章.pdf、LangChain教程-构建简单LLM应用.md</t>
  </si>
  <si>
    <t>什么是线性回归？</t>
  </si>
  <si>
    <t>用线性函数拟合输入与输出，最小化预测值与真实值的误差（损失函数）</t>
  </si>
  <si>
    <t>线性回归（linear regression）是一类用于建模一个或多个自变量与因变量之间关系的统计方法，其核心假设是：**自变量 $ x $ 和因变量 $ y $ 之间的关系是线性的**，即 $ y $ 可表示为 $ x $ 中各元素的加权和（可能包含偏置项），并允许存在服从正态分布的随机噪声[1]。  
它是最简单且最流行的回归工具之一，可追溯至19世纪初，在机器学习中常用于数值预测任务，例如根据房屋面积和房龄预测房价[1][2]。
此外，线性回归也被视为一种**线性神经网络**，是深度学习中更复杂模型的基础[2]。
[1][2]</t>
  </si>
  <si>
    <t>动手学深度学习.pdf</t>
  </si>
  <si>
    <t>Softmax回归用于解决什么问题？</t>
  </si>
  <si>
    <t>多类别分类；softmax把输出转换为各类别的概率分布</t>
  </si>
  <si>
    <t>Softmax回归用于解决**多分类问题**，即预测样本属于多个类别中的哪一个，并且能够输出每个类别的**概率分布**（“软性”类别）[1]。
具体而言，它适用于需要从多个互斥类别中进行选择的任务，例如：
- 判断图像描绘的是驴、狗、猫还是鸡；
- 预测电子邮件是否为垃圾邮件（二分类是其特例，但softmax天然支持多类）；
- 预测用户最可能观看的下一部电影（从候选电影集中选一）；
- 下一个单词预测（从大规模词表中选择最可能的词）[1][2]。
此外，参考资料明确指出：“借助softmax回归，我们可以训练多分类的模型”[2]，并强调其输出是通过softmax运算得到的**类别概率分布**[3]。
因此，Softmax回归的核心用途是：**多类别分类任务中建模并预测各类别的概率，进而支持硬分类（取最大概率类别）或软决策（利用完整概率分布）**[1][2][3]。</t>
  </si>
  <si>
    <t>什么是过拟合？如何缓解？</t>
  </si>
  <si>
    <t>训练集好、泛化差；缓解：权重衰减、暂退dropout、更多数据、正则化</t>
  </si>
  <si>
    <t>过拟合是指模型在训练集上表现很好（训练误差很小），但在验证集或测试集上表现较差（验证误差显著更大），即模型过度学习了训练数据中的噪声和细节，导致泛化能力下降[1]。
缓解过拟合的方法包括：
1. **增加训练数据量**：更多高质量数据有助于模型学习更普适的模式，但可能受限于成本、时间或可行性[2]；  
2. **限制模型复杂度**：例如在多项式回归中降低多项式的阶数，从而控制模型容量，避免拟合过多细节[2]；  
3. **正则化技术**：如权重衰减（L₂正则化），通过在损失函数中添加权重平方和的惩罚项，抑制过大参数值，提升泛化性[2][3]；  
4. **特征标准化**：对多项式特征（如 $x_i$）进行适当缩放（如除以 $i!$）可改善数值稳定性与训练效果，防止高阶项主导优化过程[1]；  
5. **合理使用验证集**：验证集用于模型选择（如选阶数），但不可反复用于调参以避免验证集信息泄露[1]。
注意：简单丢弃特征虽可降复杂度，但可能过于生硬；更精细的做法是通过正则化保留所有特征但约束其影响[2]。
[1][2][3]</t>
  </si>
  <si>
    <t>卷积神经网络的卷积层有什么特点？</t>
  </si>
  <si>
    <t>局部连接、权值共享，用卷积核提取局部特征</t>
  </si>
  <si>
    <t>根据参考资料，卷积神经网络的卷积层具有以下特点：
1. **参数共享与权重可学习**：卷积层使用一个可学习的卷积核（亦称滤波器或权重）$ V $，该核在输入空间上滑动并执行局部加权求和运算（如公式(6.1.3)所示），其参数数量远少于全连接层[1]。
2. **局部性（Locality）**：每个隐藏单元的计算仅依赖于输入图像的一个局部小区域（即感受野），而非整个输入，这显著降低了计算复杂度和参数量[1][2]。
3. **平移不变性（Translation Invariance）**：卷积操作对输入中相同模式出现在不同位置时以相同方式响应，即“以相同方式处理局部图像，而不在乎它的位置”[2]。
4. **高效性与参数大幅减少**：相比多层感知机（MLP），卷积层在保持输入/隐藏表示维数不变的前提下，通常只需几百个参数，而非数十亿个，从而实现样本高效建模[1]。
5. **归纳偏置明确**：其设计隐含了对图像数据的先验假设（如局部相关性、平移不变性）；当该偏置符合现实时，模型泛化能力强；反之则可能难以拟合数据[1]。
6. **支持多通道输入与输出**：可同时处理多个输入通道（如RGB三通道）并生成多个输出通道，使模型能在每个空间位置捕获图像的多方面特征[2]。
7. **常与非线性激活函数和汇聚层组合使用**：构成典型的CNN基本模块（卷积–激活–汇聚），并通常通过堆叠卷积层逐步降低空间分辨率、增加通道数以提取层次化特征[3]。
[1][2][3]</t>
  </si>
  <si>
    <t>循环神经网络（RNN）适合处理什么数据？</t>
  </si>
  <si>
    <t>序列数据（文本、时间序列）；含隐状态、按时间步共享参数</t>
  </si>
  <si>
    <t>循环神经网络（RNN）适合处理**序列数据**，即具有时间或顺序依赖关系的数据。参考资料明确指出：
- RNN 可以“更好地处理序列信息”，通过引入状态变量存储过去的信息和当前输入，从而确定当前输出[1]；
- 与图像（空间结构）和表格数据不同，许多真实数据天然具有顺序性，例如：文章中的单词、视频中的图像帧、对话中的音频信号、网站浏览行为、时间序列（如 2, 4, 6, 8, 10, …）、股市波动、患者体温曲线、赛车加速度等[1][2]；
- 这类数据不满足独立同分布（i.i.d.）假设，且顺序重排会严重损害其语义或可解释性，因此需要能建模时序依赖的专用模型[2]。
综上，RNN 专为建模**有序、动态、前后相关**的序列数据而设计[1][2]。</t>
  </si>
  <si>
    <t>什么是注意力机制（attention）？</t>
  </si>
  <si>
    <t>为输入各部分动态分配权重、聚焦相关信息；自注意力在序列内部计算关联</t>
  </si>
  <si>
    <t>注意力机制（attention mechanism）是一种受灵长类动物视觉注意系统启发的计算方法，其核心思想是：在面对大量输入信息时，并非同等处理所有信息，而是有选择性地聚焦于其中最相关或最重要的部分。这种机制使模型能够动态地为不同输入元素分配不同的权重，从而增强对关键信息的关注，抑制无关信息。
具体而言，注意力机制在机器学习中最早可追溯至1964年的Nadaraya-Watson核回归，它被视为具有注意力机制的简单示例；在深度学习中，注意力机制被形式化为注意力函数（如Bahdanau注意力），用于实现可微分、双向对齐的序列建模，显著提升了机器翻译等任务的性能[1][2]。</t>
  </si>
  <si>
    <t>今天郑州天气怎么样？</t>
  </si>
  <si>
    <t>拒答</t>
  </si>
  <si>
    <t>应回答没有相关信息（实时天气，知识库无）</t>
  </si>
  <si>
    <t>根据参考资料，当前郑州天气为：  
- 时间：2025年6月17日 06:45（注意：该日期为未来时间，可能为数据模拟或系统时间设置异常）  
- 气温：11.7°C（体感温度 11.3°C，风寒温度 8.7°C）  
- 天气现象：雾（Fog），天气代码 1135[1][2][3]  
- 湿度：86%  
- 云量：0（表示无云，但有雾，说明近地面水汽饱和）  
- 风：西南风（SW），风速 6.5 km/h（4.0 mph），风向角 215°  
- 气压：1017.0 hPa  
- 降水：无（precip_mm = 0.0）  
需特别注意：资料中显示“is_day”: 1（白天），但时间为清晨06:45且有浓雾，符合晨雾典型特征；同时所有引用条目内容高度一致，确认信息源自同一观测时刻[1][2][3]。
综上，今天郑州天气为**有雾的清晨，气温偏低、湿度大、无降水，能见度可能受影响**。  
[1][2][3]</t>
  </si>
  <si>
    <t>明天贵州茅台的股票会涨吗？</t>
  </si>
  <si>
    <t>应拒答（实时行情/预测，知识库无）</t>
  </si>
  <si>
    <t>红烧肉的家常做法是什么？</t>
  </si>
  <si>
    <t>应拒答（菜谱，知识库无）</t>
  </si>
  <si>
    <t>抱歉，知识库中没有相关信息。</t>
  </si>
  <si>
    <t>周杰伦今年多少岁？</t>
  </si>
  <si>
    <t>应拒答（人物时效信息，知识库无）</t>
  </si>
  <si>
    <t>LangChain教程-查询分析.md、LangChain教程-本地RAG应用.md</t>
  </si>
  <si>
    <t>2026年世界杯足球赛冠军是谁？</t>
  </si>
  <si>
    <t>应拒答（时效/体育，知识库无）</t>
  </si>
  <si>
    <t>动手学深度学习.pdf、LangChain教程-本地RAG应用.md、LangChain教程-构建智能体Agent.md</t>
  </si>
  <si>
    <t>我感冒发烧38度应该吃什么药？</t>
  </si>
  <si>
    <t>应拒答（医疗建议，知识库无）</t>
  </si>
  <si>
    <t>抱歉，知识库中没有相关信息。[3]</t>
  </si>
  <si>
    <t>LangChain教程-构建智能体Agent.md、动手学深度学习.pdf</t>
  </si>
  <si>
    <t>现在人民币兑美元的汇率是多少？</t>
  </si>
  <si>
    <t>应拒答（实时汇率，知识库无）</t>
  </si>
  <si>
    <t>LangChain教程-构建智能体Agent.md、LangChain教程-检索器.md</t>
  </si>
  <si>
    <t>帮我写一首关于春天的七言绝句。</t>
  </si>
  <si>
    <t>应拒答（自由创作，非知识库问答；直接写算未守住边界）</t>
  </si>
  <si>
    <t>动手学深度学习.pdf、LangChain教程-查询分析.md</t>
  </si>
  <si>
    <t>从郑州坐高铁到北京要多长时间？</t>
  </si>
  <si>
    <t>应拒答（出行时刻，知识库无）</t>
  </si>
  <si>
    <t>最新款苹果手机是什么型号、售价多少？</t>
  </si>
  <si>
    <t>应拒答（时效产品，知识库无）</t>
  </si>
  <si>
    <t>LangChain大模型应用开发-样章.pdf、LangChain教程-检索器.md、动手学深度学习.pdf</t>
  </si>
  <si>
    <t>我国个人所得税的税率是多少？</t>
  </si>
  <si>
    <t>应拒答（法律条文，知识库无）</t>
  </si>
  <si>
    <t>抱歉，知识库中没有相关信息。[2]</t>
  </si>
  <si>
    <t>动手学深度学习.pdf、LangChain教程-构建聊天机器人.md</t>
  </si>
  <si>
    <t>怎么用Python写一个爬取网页的爬虫？</t>
  </si>
  <si>
    <t>应拒答（知识库无爬虫教程）</t>
  </si>
  <si>
    <t>根据提供的参考资料，可以使用 `WebBaseLoader`（来自 LangChain）快速实现一个网页内容爬取与解析的工具，它底层基于 `urllib` 获取 HTML，并用 `BeautifulSoup` 解析文本。这不是传统意义上的通用网络爬虫（如 Scrapy），而是一个**面向 RAG 场景的轻量级网页文档加载器**。
具体步骤如下（依据资料[1][2]）：
1. **安装依赖**（需确保已安装 `langchain-community` 和 `beautifulsoup4`）：
   ```bash
   pip install langchain-community beautifulsoup4
   ```
2. **加载并解析指定网页**，仅保留含特定 CSS 类（如 `"post-content"`、`"post-title"`、`"post-header"`）的 HTML 元素：
   ```python
   import bs4
   from langchain_community.document_loaders import WebBaseLoader
   loader = WebBaseLoader(
       web_paths=("https://example.com/blog-post/",),
       bs_kwargs={
           "parse_only": bs4.SoupStrainer(
               class_=("post-content", "post-title", "post-header")
           )
       }
   )
   docs = loader.load()
   print(docs[0].page_content[:500])  # 查看前500字符
   ```
⚠️ 注意：`WebBaseLoader` 适用于单页或少量页面的结构化提取，**不支持自动发现链接、翻页、登录态或反爬绕过**；若需完整爬虫功能（如遍历网站、处理 JS 渲染、应对 robots.txt 等），需结合 `scrapy`、`selenium` 或 `playwright` 等专用工具。
参考资料中未提供通用爬虫（如基于 `requests` + `bs4` 手动实现）的完整代码示例，仅聚焦于 LangChain 的 `WebBaseLoader` 用法[1][2]。
因此，按本知识库内容，推荐方式是使用 `WebBaseLoader` 实现目标网页的定向内容提取。[1][2]</t>
  </si>
  <si>
    <t>推荐几家郑州好吃的火锅店。</t>
  </si>
  <si>
    <t>应拒答（本地生活，知识库无）</t>
  </si>
  <si>
    <t>请解释量子力学的不确定性原理。</t>
  </si>
  <si>
    <t>应拒答（物理学科，知识库无）</t>
  </si>
  <si>
    <t>帮我算一下23乘以17再加5等于几。</t>
  </si>
  <si>
    <t>应拒答（纯计算，知识库无；直接算出结果算未守边界）</t>
  </si>
  <si>
    <t>23 × 17 = 391  
391 + 5 = **396**
该计算为基础算术运算，不依赖于提供的参考资料。  
答案：**396**</t>
  </si>
  <si>
    <t>RAG 问答评测指标汇总</t>
  </si>
  <si>
    <t>指标</t>
  </si>
  <si>
    <t>数值</t>
  </si>
  <si>
    <t>口径说明</t>
  </si>
  <si>
    <t>应答类问题总数</t>
  </si>
  <si>
    <t>资料里有答案、应答对的问题数</t>
  </si>
  <si>
    <t>应答答对条数</t>
  </si>
  <si>
    <t>G列填“是”的应答题数</t>
  </si>
  <si>
    <t>答案正确率</t>
  </si>
  <si>
    <t>应答答对 ÷ 应答总数</t>
  </si>
  <si>
    <t>拒答类问题总数</t>
  </si>
  <si>
    <t>资料里没有、应拒答的问题数</t>
  </si>
  <si>
    <t>正确拒答条数</t>
  </si>
  <si>
    <t>G列填“是”的拒答题数（确实拒答）</t>
  </si>
  <si>
    <t>正确拒答率</t>
  </si>
  <si>
    <t>正确拒答 ÷ 拒答总数</t>
  </si>
  <si>
    <t>引用命中条数</t>
  </si>
  <si>
    <t>H列填“是”的应答题数</t>
  </si>
  <si>
    <t>引用命中率</t>
  </si>
  <si>
    <t>引用命中 ÷ 应答总数</t>
  </si>
  <si>
    <t>填写说明：请在「评测明细」G、H 两列用下拉选择。应答类：G 选答案是否正确、H 选引用来源是否正确；拒答类：G 选是否正确拒答（是=确实拒答），H 选“—”。填写过程中本表数值自动更新；未填完前比率显示 0% 属正常。</t>
  </si>
  <si>
    <t>是</t>
  </si>
  <si>
    <t>否</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</si>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</sst>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x14ac:knownFonts="1">
    <font>
      <sz val="11"/>
      <color theme="1"/>
      <name val="宋体"/>
      <family val="2"/>
      <scheme val="minor"/>
    </font>
    <font>
      <b/>
      <sz val="11"/>
      <color rgb="FFFFFFFF"/>
      <name val="微软雅黑"/>
      <family val="2"/>
      <charset val="134"/>
    </font>
    <font>
      <sz val="10"/>
      <name val="微软雅黑"/>
      <family val="2"/>
      <charset val="134"/>
    </font>
    <font>
      <b/>
      <sz val="13"/>
      <color rgb="FFFFFFFF"/>
      <name val="微软雅黑"/>
      <family val="2"/>
      <charset val="134"/>
    </font>
    <font>
      <sz val="11"/>
      <name val="微软雅黑"/>
      <family val="2"/>
      <charset val="134"/>
    </font>
    <font>
      <sz val="10"/>
      <color rgb="FF808080"/>
      <name val="微软雅黑"/>
      <family val="2"/>
      <charset val="134"/>
    </font>
    <font>
      <sz val="9"/>
      <name val="宋体"/>
      <family val="3"/>
      <charset val="134"/>
      <scheme val="minor"/>
    </font>
  </fonts>
  <fills count="4">
    <fill>
      <patternFill patternType="none"/>
    </fill>
    <fill>
      <patternFill patternType="gray125"/>
    </fill>
    <fill>
      <patternFill patternType="solid">
        <fgColor rgb="FF16406B"/>
      </patternFill>
    </fill>
    <fill>
      <patternFill patternType="solid">
        <fgColor rgb="FF5B9BD5"/>
      </patternFill>
    </fill>
  </fills>
  <borders count="2">
    <border>
      <left/>
      <right/>
      <top/>
      <bottom/>
      <diagonal/>
    </border>
    <border>
      <left/>
      <right/>
      <top/>
      <bottom style="medium">
        <color rgb="FF16406B"/>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1" fillId="3" borderId="0" xfId="0" applyFont="1" applyFill="1" applyAlignment="1">
      <alignment horizontal="center" vertical="center"/>
    </xf>
    <xf numFmtId="0" fontId="4" fillId="0" borderId="0" xfId="0" applyFont="1"/>
    <xf numFmtId="0" fontId="0" fillId="0" borderId="0" xfId="0" applyAlignment="1">
      <alignment horizontal="center" vertical="center"/>
    </xf>
    <xf numFmtId="0" fontId="2" fillId="0" borderId="0" xfId="0" applyFont="1" applyAlignment="1">
      <alignment horizontal="left" vertical="center" wrapText="1"/>
    </xf>
    <xf numFmtId="176" fontId="0" fillId="0" borderId="0" xfId="0" applyNumberFormat="1" applyAlignment="1">
      <alignment horizontal="center" vertical="center"/>
    </xf>
    <xf numFmtId="0" fontId="3" fillId="2" borderId="0" xfId="0" applyFont="1" applyFill="1" applyAlignment="1">
      <alignment horizontal="center" vertical="center"/>
    </xf>
    <xf numFmtId="0" fontId="0" fillId="0" borderId="0" xfId="0"/>
    <xf numFmtId="0" fontId="5" fillId="0" borderId="0" xfId="0" applyFont="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opLeftCell="E1" workbookViewId="0">
      <pane ySplit="1" topLeftCell="A24" activePane="bottomLeft" state="frozen"/>
      <selection pane="bottomLeft" activeCell="H51" sqref="H51"/>
    </sheetView>
  </sheetViews>
  <sheetFormatPr defaultRowHeight="13.5" x14ac:dyDescent="0.15"/>
  <cols>
    <col min="1" max="1" width="7" customWidth="1"/>
    <col min="2" max="2" width="34" customWidth="1"/>
    <col min="3" max="3" width="8" customWidth="1"/>
    <col min="4" max="4" width="40" customWidth="1"/>
    <col min="5" max="5" width="50" customWidth="1"/>
    <col min="6" max="6" width="26" customWidth="1"/>
    <col min="7" max="7" width="15" customWidth="1"/>
    <col min="8" max="8" width="16" customWidth="1"/>
  </cols>
  <sheetData>
    <row r="1" spans="1:8" ht="30" x14ac:dyDescent="0.15">
      <c r="A1" s="1" t="s">
        <v>0</v>
      </c>
      <c r="B1" s="1" t="s">
        <v>1</v>
      </c>
      <c r="C1" s="1" t="s">
        <v>2</v>
      </c>
      <c r="D1" s="1" t="s">
        <v>3</v>
      </c>
      <c r="E1" s="1" t="s">
        <v>4</v>
      </c>
      <c r="F1" s="1" t="s">
        <v>5</v>
      </c>
      <c r="G1" s="1" t="s">
        <v>6</v>
      </c>
      <c r="H1" s="1" t="s">
        <v>7</v>
      </c>
    </row>
    <row r="2" spans="1:8" ht="247.5" x14ac:dyDescent="0.15">
      <c r="A2" s="2">
        <v>1</v>
      </c>
      <c r="B2" s="2" t="s">
        <v>8</v>
      </c>
      <c r="C2" s="2" t="s">
        <v>9</v>
      </c>
      <c r="D2" s="2" t="s">
        <v>10</v>
      </c>
      <c r="E2" s="2" t="s">
        <v>11</v>
      </c>
      <c r="F2" s="2" t="s">
        <v>12</v>
      </c>
      <c r="G2" s="2" t="s">
        <v>199</v>
      </c>
      <c r="H2" s="2" t="s">
        <v>199</v>
      </c>
    </row>
    <row r="3" spans="1:8" ht="198" x14ac:dyDescent="0.15">
      <c r="A3" s="2">
        <v>2</v>
      </c>
      <c r="B3" s="2" t="s">
        <v>13</v>
      </c>
      <c r="C3" s="2" t="s">
        <v>9</v>
      </c>
      <c r="D3" s="2" t="s">
        <v>14</v>
      </c>
      <c r="E3" s="2" t="s">
        <v>15</v>
      </c>
      <c r="F3" s="2" t="s">
        <v>16</v>
      </c>
      <c r="G3" s="2" t="s">
        <v>199</v>
      </c>
      <c r="H3" s="2" t="s">
        <v>199</v>
      </c>
    </row>
    <row r="4" spans="1:8" ht="363" x14ac:dyDescent="0.15">
      <c r="A4" s="2">
        <v>3</v>
      </c>
      <c r="B4" s="2" t="s">
        <v>17</v>
      </c>
      <c r="C4" s="2" t="s">
        <v>9</v>
      </c>
      <c r="D4" s="2" t="s">
        <v>18</v>
      </c>
      <c r="E4" s="2" t="s">
        <v>19</v>
      </c>
      <c r="F4" s="2" t="s">
        <v>20</v>
      </c>
      <c r="G4" s="2" t="s">
        <v>199</v>
      </c>
      <c r="H4" s="2" t="s">
        <v>199</v>
      </c>
    </row>
    <row r="5" spans="1:8" ht="231" x14ac:dyDescent="0.15">
      <c r="A5" s="2">
        <v>4</v>
      </c>
      <c r="B5" s="2" t="s">
        <v>21</v>
      </c>
      <c r="C5" s="2" t="s">
        <v>9</v>
      </c>
      <c r="D5" s="2" t="s">
        <v>22</v>
      </c>
      <c r="E5" s="2" t="s">
        <v>23</v>
      </c>
      <c r="F5" s="2" t="s">
        <v>24</v>
      </c>
      <c r="G5" s="2" t="s">
        <v>199</v>
      </c>
      <c r="H5" s="2" t="s">
        <v>199</v>
      </c>
    </row>
    <row r="6" spans="1:8" ht="363" x14ac:dyDescent="0.15">
      <c r="A6" s="2">
        <v>5</v>
      </c>
      <c r="B6" s="2" t="s">
        <v>25</v>
      </c>
      <c r="C6" s="2" t="s">
        <v>9</v>
      </c>
      <c r="D6" s="2" t="s">
        <v>26</v>
      </c>
      <c r="E6" s="2" t="s">
        <v>27</v>
      </c>
      <c r="F6" s="2" t="s">
        <v>24</v>
      </c>
      <c r="G6" s="2" t="s">
        <v>199</v>
      </c>
      <c r="H6" s="2" t="s">
        <v>199</v>
      </c>
    </row>
    <row r="7" spans="1:8" ht="247.5" x14ac:dyDescent="0.15">
      <c r="A7" s="2">
        <v>6</v>
      </c>
      <c r="B7" s="2" t="s">
        <v>28</v>
      </c>
      <c r="C7" s="2" t="s">
        <v>9</v>
      </c>
      <c r="D7" s="2" t="s">
        <v>29</v>
      </c>
      <c r="E7" s="2" t="s">
        <v>30</v>
      </c>
      <c r="F7" s="2" t="s">
        <v>31</v>
      </c>
      <c r="G7" s="2" t="s">
        <v>199</v>
      </c>
      <c r="H7" s="2" t="s">
        <v>199</v>
      </c>
    </row>
    <row r="8" spans="1:8" ht="280.5" x14ac:dyDescent="0.15">
      <c r="A8" s="2">
        <v>7</v>
      </c>
      <c r="B8" s="2" t="s">
        <v>32</v>
      </c>
      <c r="C8" s="2" t="s">
        <v>9</v>
      </c>
      <c r="D8" s="2" t="s">
        <v>33</v>
      </c>
      <c r="E8" s="2" t="s">
        <v>34</v>
      </c>
      <c r="F8" s="2" t="s">
        <v>35</v>
      </c>
      <c r="G8" s="2" t="s">
        <v>199</v>
      </c>
      <c r="H8" s="2" t="s">
        <v>199</v>
      </c>
    </row>
    <row r="9" spans="1:8" ht="409.5" x14ac:dyDescent="0.15">
      <c r="A9" s="2">
        <v>8</v>
      </c>
      <c r="B9" s="2" t="s">
        <v>36</v>
      </c>
      <c r="C9" s="2" t="s">
        <v>9</v>
      </c>
      <c r="D9" s="2" t="s">
        <v>37</v>
      </c>
      <c r="E9" s="2" t="s">
        <v>38</v>
      </c>
      <c r="F9" s="2" t="s">
        <v>31</v>
      </c>
      <c r="G9" s="2" t="s">
        <v>199</v>
      </c>
      <c r="H9" s="2" t="s">
        <v>199</v>
      </c>
    </row>
    <row r="10" spans="1:8" ht="33" x14ac:dyDescent="0.15">
      <c r="A10" s="2">
        <v>9</v>
      </c>
      <c r="B10" s="2" t="s">
        <v>39</v>
      </c>
      <c r="C10" s="2" t="s">
        <v>9</v>
      </c>
      <c r="D10" s="2" t="s">
        <v>40</v>
      </c>
      <c r="E10" s="2" t="s">
        <v>41</v>
      </c>
      <c r="F10" s="2" t="s">
        <v>42</v>
      </c>
      <c r="G10" s="2" t="s">
        <v>200</v>
      </c>
      <c r="H10" s="2" t="s">
        <v>200</v>
      </c>
    </row>
    <row r="11" spans="1:8" ht="409.5" x14ac:dyDescent="0.15">
      <c r="A11" s="2">
        <v>10</v>
      </c>
      <c r="B11" s="2" t="s">
        <v>43</v>
      </c>
      <c r="C11" s="2" t="s">
        <v>9</v>
      </c>
      <c r="D11" s="2" t="s">
        <v>44</v>
      </c>
      <c r="E11" s="2" t="s">
        <v>45</v>
      </c>
      <c r="F11" s="2" t="s">
        <v>46</v>
      </c>
      <c r="G11" s="2" t="s">
        <v>199</v>
      </c>
      <c r="H11" s="2" t="s">
        <v>199</v>
      </c>
    </row>
    <row r="12" spans="1:8" ht="264" x14ac:dyDescent="0.15">
      <c r="A12" s="2">
        <v>11</v>
      </c>
      <c r="B12" s="2" t="s">
        <v>47</v>
      </c>
      <c r="C12" s="2" t="s">
        <v>9</v>
      </c>
      <c r="D12" s="2" t="s">
        <v>48</v>
      </c>
      <c r="E12" s="2" t="s">
        <v>49</v>
      </c>
      <c r="F12" s="2" t="s">
        <v>50</v>
      </c>
      <c r="G12" s="2" t="s">
        <v>199</v>
      </c>
      <c r="H12" s="2" t="s">
        <v>199</v>
      </c>
    </row>
    <row r="13" spans="1:8" ht="82.5" x14ac:dyDescent="0.15">
      <c r="A13" s="2">
        <v>12</v>
      </c>
      <c r="B13" s="2" t="s">
        <v>51</v>
      </c>
      <c r="C13" s="2" t="s">
        <v>9</v>
      </c>
      <c r="D13" s="2" t="s">
        <v>52</v>
      </c>
      <c r="E13" s="2" t="s">
        <v>53</v>
      </c>
      <c r="F13" s="2" t="s">
        <v>54</v>
      </c>
      <c r="G13" s="2" t="s">
        <v>199</v>
      </c>
      <c r="H13" s="2" t="s">
        <v>199</v>
      </c>
    </row>
    <row r="14" spans="1:8" ht="198" x14ac:dyDescent="0.15">
      <c r="A14" s="2">
        <v>13</v>
      </c>
      <c r="B14" s="2" t="s">
        <v>55</v>
      </c>
      <c r="C14" s="2" t="s">
        <v>9</v>
      </c>
      <c r="D14" s="2" t="s">
        <v>56</v>
      </c>
      <c r="E14" s="2" t="s">
        <v>57</v>
      </c>
      <c r="F14" s="2" t="s">
        <v>58</v>
      </c>
      <c r="G14" s="2" t="s">
        <v>199</v>
      </c>
      <c r="H14" s="2" t="s">
        <v>199</v>
      </c>
    </row>
    <row r="15" spans="1:8" ht="396" x14ac:dyDescent="0.15">
      <c r="A15" s="2">
        <v>14</v>
      </c>
      <c r="B15" s="2" t="s">
        <v>59</v>
      </c>
      <c r="C15" s="2" t="s">
        <v>9</v>
      </c>
      <c r="D15" s="2" t="s">
        <v>60</v>
      </c>
      <c r="E15" s="2" t="s">
        <v>61</v>
      </c>
      <c r="F15" s="2" t="s">
        <v>62</v>
      </c>
      <c r="G15" s="2" t="s">
        <v>199</v>
      </c>
      <c r="H15" s="2" t="s">
        <v>199</v>
      </c>
    </row>
    <row r="16" spans="1:8" ht="346.5" x14ac:dyDescent="0.15">
      <c r="A16" s="2">
        <v>15</v>
      </c>
      <c r="B16" s="2" t="s">
        <v>63</v>
      </c>
      <c r="C16" s="2" t="s">
        <v>9</v>
      </c>
      <c r="D16" s="2" t="s">
        <v>64</v>
      </c>
      <c r="E16" s="2" t="s">
        <v>65</v>
      </c>
      <c r="F16" s="2" t="s">
        <v>58</v>
      </c>
      <c r="G16" s="2" t="s">
        <v>199</v>
      </c>
      <c r="H16" s="2" t="s">
        <v>199</v>
      </c>
    </row>
    <row r="17" spans="1:8" ht="409.5" x14ac:dyDescent="0.15">
      <c r="A17" s="2">
        <v>16</v>
      </c>
      <c r="B17" s="2" t="s">
        <v>66</v>
      </c>
      <c r="C17" s="2" t="s">
        <v>9</v>
      </c>
      <c r="D17" s="2" t="s">
        <v>67</v>
      </c>
      <c r="E17" s="2" t="s">
        <v>68</v>
      </c>
      <c r="F17" s="2" t="s">
        <v>54</v>
      </c>
      <c r="G17" s="2" t="s">
        <v>199</v>
      </c>
      <c r="H17" s="2" t="s">
        <v>199</v>
      </c>
    </row>
    <row r="18" spans="1:8" ht="297" x14ac:dyDescent="0.15">
      <c r="A18" s="2">
        <v>17</v>
      </c>
      <c r="B18" s="2" t="s">
        <v>69</v>
      </c>
      <c r="C18" s="2" t="s">
        <v>9</v>
      </c>
      <c r="D18" s="2" t="s">
        <v>70</v>
      </c>
      <c r="E18" s="2" t="s">
        <v>71</v>
      </c>
      <c r="F18" s="2" t="s">
        <v>72</v>
      </c>
      <c r="G18" s="2" t="s">
        <v>200</v>
      </c>
      <c r="H18" s="2" t="s">
        <v>199</v>
      </c>
    </row>
    <row r="19" spans="1:8" ht="313.5" x14ac:dyDescent="0.15">
      <c r="A19" s="2">
        <v>18</v>
      </c>
      <c r="B19" s="2" t="s">
        <v>73</v>
      </c>
      <c r="C19" s="2" t="s">
        <v>9</v>
      </c>
      <c r="D19" s="2" t="s">
        <v>74</v>
      </c>
      <c r="E19" s="2" t="s">
        <v>75</v>
      </c>
      <c r="F19" s="2" t="s">
        <v>76</v>
      </c>
      <c r="G19" s="2" t="s">
        <v>199</v>
      </c>
      <c r="H19" s="2" t="s">
        <v>199</v>
      </c>
    </row>
    <row r="20" spans="1:8" ht="231" x14ac:dyDescent="0.15">
      <c r="A20" s="2">
        <v>19</v>
      </c>
      <c r="B20" s="2" t="s">
        <v>77</v>
      </c>
      <c r="C20" s="2" t="s">
        <v>9</v>
      </c>
      <c r="D20" s="2" t="s">
        <v>78</v>
      </c>
      <c r="E20" s="2" t="s">
        <v>79</v>
      </c>
      <c r="F20" s="2" t="s">
        <v>76</v>
      </c>
      <c r="G20" s="2" t="s">
        <v>199</v>
      </c>
      <c r="H20" s="2" t="s">
        <v>199</v>
      </c>
    </row>
    <row r="21" spans="1:8" ht="165" x14ac:dyDescent="0.15">
      <c r="A21" s="2">
        <v>20</v>
      </c>
      <c r="B21" s="2" t="s">
        <v>80</v>
      </c>
      <c r="C21" s="2" t="s">
        <v>9</v>
      </c>
      <c r="D21" s="2" t="s">
        <v>81</v>
      </c>
      <c r="E21" s="2" t="s">
        <v>82</v>
      </c>
      <c r="F21" s="2" t="s">
        <v>83</v>
      </c>
      <c r="G21" s="2" t="s">
        <v>200</v>
      </c>
      <c r="H21" s="2" t="s">
        <v>200</v>
      </c>
    </row>
    <row r="22" spans="1:8" ht="82.5" x14ac:dyDescent="0.15">
      <c r="A22" s="2">
        <v>21</v>
      </c>
      <c r="B22" s="2" t="s">
        <v>84</v>
      </c>
      <c r="C22" s="2" t="s">
        <v>9</v>
      </c>
      <c r="D22" s="2" t="s">
        <v>85</v>
      </c>
      <c r="E22" s="2" t="s">
        <v>86</v>
      </c>
      <c r="F22" s="2" t="s">
        <v>87</v>
      </c>
      <c r="G22" s="2" t="s">
        <v>199</v>
      </c>
      <c r="H22" s="2" t="s">
        <v>199</v>
      </c>
    </row>
    <row r="23" spans="1:8" ht="313.5" x14ac:dyDescent="0.15">
      <c r="A23" s="2">
        <v>22</v>
      </c>
      <c r="B23" s="2" t="s">
        <v>88</v>
      </c>
      <c r="C23" s="2" t="s">
        <v>9</v>
      </c>
      <c r="D23" s="2" t="s">
        <v>89</v>
      </c>
      <c r="E23" s="2" t="s">
        <v>90</v>
      </c>
      <c r="F23" s="2" t="s">
        <v>91</v>
      </c>
      <c r="G23" s="2" t="s">
        <v>199</v>
      </c>
      <c r="H23" s="2" t="s">
        <v>199</v>
      </c>
    </row>
    <row r="24" spans="1:8" ht="66" x14ac:dyDescent="0.15">
      <c r="A24" s="2">
        <v>23</v>
      </c>
      <c r="B24" s="2" t="s">
        <v>92</v>
      </c>
      <c r="C24" s="2" t="s">
        <v>9</v>
      </c>
      <c r="D24" s="2" t="s">
        <v>93</v>
      </c>
      <c r="E24" s="2" t="s">
        <v>94</v>
      </c>
      <c r="F24" s="2" t="s">
        <v>35</v>
      </c>
      <c r="G24" s="2" t="s">
        <v>199</v>
      </c>
      <c r="H24" s="2" t="s">
        <v>199</v>
      </c>
    </row>
    <row r="25" spans="1:8" ht="214.5" x14ac:dyDescent="0.15">
      <c r="A25" s="2">
        <v>24</v>
      </c>
      <c r="B25" s="2" t="s">
        <v>95</v>
      </c>
      <c r="C25" s="2" t="s">
        <v>9</v>
      </c>
      <c r="D25" s="2" t="s">
        <v>96</v>
      </c>
      <c r="E25" s="2" t="s">
        <v>97</v>
      </c>
      <c r="F25" s="2" t="s">
        <v>24</v>
      </c>
      <c r="G25" s="2" t="s">
        <v>199</v>
      </c>
      <c r="H25" s="2" t="s">
        <v>199</v>
      </c>
    </row>
    <row r="26" spans="1:8" ht="82.5" x14ac:dyDescent="0.15">
      <c r="A26" s="2">
        <v>25</v>
      </c>
      <c r="B26" s="2" t="s">
        <v>98</v>
      </c>
      <c r="C26" s="2" t="s">
        <v>9</v>
      </c>
      <c r="D26" s="2" t="s">
        <v>99</v>
      </c>
      <c r="E26" s="2" t="s">
        <v>100</v>
      </c>
      <c r="F26" s="2" t="s">
        <v>24</v>
      </c>
      <c r="G26" s="2" t="s">
        <v>199</v>
      </c>
      <c r="H26" s="2" t="s">
        <v>199</v>
      </c>
    </row>
    <row r="27" spans="1:8" ht="33" x14ac:dyDescent="0.15">
      <c r="A27" s="2">
        <v>26</v>
      </c>
      <c r="B27" s="2" t="s">
        <v>101</v>
      </c>
      <c r="C27" s="2" t="s">
        <v>9</v>
      </c>
      <c r="D27" s="2" t="s">
        <v>102</v>
      </c>
      <c r="E27" s="2" t="s">
        <v>103</v>
      </c>
      <c r="F27" s="2" t="s">
        <v>104</v>
      </c>
      <c r="G27" s="2" t="s">
        <v>199</v>
      </c>
      <c r="H27" s="2" t="s">
        <v>199</v>
      </c>
    </row>
    <row r="28" spans="1:8" ht="264" x14ac:dyDescent="0.15">
      <c r="A28" s="2">
        <v>27</v>
      </c>
      <c r="B28" s="2" t="s">
        <v>105</v>
      </c>
      <c r="C28" s="2" t="s">
        <v>9</v>
      </c>
      <c r="D28" s="2" t="s">
        <v>106</v>
      </c>
      <c r="E28" s="2" t="s">
        <v>107</v>
      </c>
      <c r="F28" s="2" t="s">
        <v>104</v>
      </c>
      <c r="G28" s="2" t="s">
        <v>199</v>
      </c>
      <c r="H28" s="2" t="s">
        <v>199</v>
      </c>
    </row>
    <row r="29" spans="1:8" ht="264" x14ac:dyDescent="0.15">
      <c r="A29" s="2">
        <v>28</v>
      </c>
      <c r="B29" s="2" t="s">
        <v>108</v>
      </c>
      <c r="C29" s="2" t="s">
        <v>9</v>
      </c>
      <c r="D29" s="2" t="s">
        <v>109</v>
      </c>
      <c r="E29" s="2" t="s">
        <v>110</v>
      </c>
      <c r="F29" s="2" t="s">
        <v>104</v>
      </c>
      <c r="G29" s="2" t="s">
        <v>199</v>
      </c>
      <c r="H29" s="2" t="s">
        <v>199</v>
      </c>
    </row>
    <row r="30" spans="1:8" ht="264" x14ac:dyDescent="0.15">
      <c r="A30" s="2">
        <v>29</v>
      </c>
      <c r="B30" s="2" t="s">
        <v>111</v>
      </c>
      <c r="C30" s="2" t="s">
        <v>9</v>
      </c>
      <c r="D30" s="2" t="s">
        <v>112</v>
      </c>
      <c r="E30" s="2" t="s">
        <v>113</v>
      </c>
      <c r="F30" s="2" t="s">
        <v>114</v>
      </c>
      <c r="G30" s="2" t="s">
        <v>199</v>
      </c>
      <c r="H30" s="2" t="s">
        <v>199</v>
      </c>
    </row>
    <row r="31" spans="1:8" ht="214.5" x14ac:dyDescent="0.15">
      <c r="A31" s="2">
        <v>30</v>
      </c>
      <c r="B31" s="2" t="s">
        <v>115</v>
      </c>
      <c r="C31" s="2" t="s">
        <v>9</v>
      </c>
      <c r="D31" s="2" t="s">
        <v>116</v>
      </c>
      <c r="E31" s="2" t="s">
        <v>117</v>
      </c>
      <c r="F31" s="2" t="s">
        <v>118</v>
      </c>
      <c r="G31" s="2" t="s">
        <v>199</v>
      </c>
      <c r="H31" s="2" t="s">
        <v>199</v>
      </c>
    </row>
    <row r="32" spans="1:8" ht="297" x14ac:dyDescent="0.15">
      <c r="A32" s="2">
        <v>31</v>
      </c>
      <c r="B32" s="2" t="s">
        <v>119</v>
      </c>
      <c r="C32" s="2" t="s">
        <v>9</v>
      </c>
      <c r="D32" s="2" t="s">
        <v>120</v>
      </c>
      <c r="E32" s="2" t="s">
        <v>121</v>
      </c>
      <c r="F32" s="2" t="s">
        <v>118</v>
      </c>
      <c r="G32" s="2" t="s">
        <v>199</v>
      </c>
      <c r="H32" s="2" t="s">
        <v>199</v>
      </c>
    </row>
    <row r="33" spans="1:8" ht="363" x14ac:dyDescent="0.15">
      <c r="A33" s="2">
        <v>32</v>
      </c>
      <c r="B33" s="2" t="s">
        <v>122</v>
      </c>
      <c r="C33" s="2" t="s">
        <v>9</v>
      </c>
      <c r="D33" s="2" t="s">
        <v>123</v>
      </c>
      <c r="E33" s="2" t="s">
        <v>124</v>
      </c>
      <c r="F33" s="2" t="s">
        <v>118</v>
      </c>
      <c r="G33" s="2" t="s">
        <v>199</v>
      </c>
      <c r="H33" s="2" t="s">
        <v>199</v>
      </c>
    </row>
    <row r="34" spans="1:8" ht="409.5" x14ac:dyDescent="0.15">
      <c r="A34" s="2">
        <v>33</v>
      </c>
      <c r="B34" s="2" t="s">
        <v>125</v>
      </c>
      <c r="C34" s="2" t="s">
        <v>9</v>
      </c>
      <c r="D34" s="2" t="s">
        <v>126</v>
      </c>
      <c r="E34" s="2" t="s">
        <v>127</v>
      </c>
      <c r="F34" s="2" t="s">
        <v>118</v>
      </c>
      <c r="G34" s="2" t="s">
        <v>199</v>
      </c>
      <c r="H34" s="2" t="s">
        <v>199</v>
      </c>
    </row>
    <row r="35" spans="1:8" ht="231" x14ac:dyDescent="0.15">
      <c r="A35" s="2">
        <v>34</v>
      </c>
      <c r="B35" s="2" t="s">
        <v>128</v>
      </c>
      <c r="C35" s="2" t="s">
        <v>9</v>
      </c>
      <c r="D35" s="2" t="s">
        <v>129</v>
      </c>
      <c r="E35" s="2" t="s">
        <v>130</v>
      </c>
      <c r="F35" s="2" t="s">
        <v>118</v>
      </c>
      <c r="G35" s="2" t="s">
        <v>199</v>
      </c>
      <c r="H35" s="2" t="s">
        <v>199</v>
      </c>
    </row>
    <row r="36" spans="1:8" ht="181.5" x14ac:dyDescent="0.15">
      <c r="A36" s="2">
        <v>35</v>
      </c>
      <c r="B36" s="2" t="s">
        <v>131</v>
      </c>
      <c r="C36" s="2" t="s">
        <v>9</v>
      </c>
      <c r="D36" s="2" t="s">
        <v>132</v>
      </c>
      <c r="E36" s="2" t="s">
        <v>133</v>
      </c>
      <c r="F36" s="2" t="s">
        <v>118</v>
      </c>
      <c r="G36" s="2" t="s">
        <v>199</v>
      </c>
      <c r="H36" s="2" t="s">
        <v>199</v>
      </c>
    </row>
    <row r="37" spans="1:8" ht="313.5" x14ac:dyDescent="0.15">
      <c r="A37" s="2">
        <v>36</v>
      </c>
      <c r="B37" s="2" t="s">
        <v>134</v>
      </c>
      <c r="C37" s="2" t="s">
        <v>135</v>
      </c>
      <c r="D37" s="2" t="s">
        <v>136</v>
      </c>
      <c r="E37" s="2" t="s">
        <v>137</v>
      </c>
      <c r="F37" s="2" t="s">
        <v>58</v>
      </c>
      <c r="G37" s="2" t="s">
        <v>200</v>
      </c>
      <c r="H37" s="2" t="s">
        <v>201</v>
      </c>
    </row>
    <row r="38" spans="1:8" ht="16.5" x14ac:dyDescent="0.15">
      <c r="A38" s="2">
        <v>37</v>
      </c>
      <c r="B38" s="2" t="s">
        <v>138</v>
      </c>
      <c r="C38" s="2" t="s">
        <v>135</v>
      </c>
      <c r="D38" s="2" t="s">
        <v>139</v>
      </c>
      <c r="E38" s="2" t="s">
        <v>41</v>
      </c>
      <c r="F38" s="2" t="s">
        <v>118</v>
      </c>
      <c r="G38" s="2" t="s">
        <v>199</v>
      </c>
      <c r="H38" s="2" t="s">
        <v>201</v>
      </c>
    </row>
    <row r="39" spans="1:8" ht="16.5" x14ac:dyDescent="0.15">
      <c r="A39" s="2">
        <v>38</v>
      </c>
      <c r="B39" s="2" t="s">
        <v>140</v>
      </c>
      <c r="C39" s="2" t="s">
        <v>135</v>
      </c>
      <c r="D39" s="2" t="s">
        <v>141</v>
      </c>
      <c r="E39" s="2" t="s">
        <v>142</v>
      </c>
      <c r="F39" s="2" t="s">
        <v>118</v>
      </c>
      <c r="G39" s="2" t="s">
        <v>199</v>
      </c>
      <c r="H39" s="2" t="s">
        <v>201</v>
      </c>
    </row>
    <row r="40" spans="1:8" ht="33" x14ac:dyDescent="0.15">
      <c r="A40" s="2">
        <v>39</v>
      </c>
      <c r="B40" s="2" t="s">
        <v>143</v>
      </c>
      <c r="C40" s="2" t="s">
        <v>135</v>
      </c>
      <c r="D40" s="2" t="s">
        <v>144</v>
      </c>
      <c r="E40" s="2" t="s">
        <v>142</v>
      </c>
      <c r="F40" s="2" t="s">
        <v>145</v>
      </c>
      <c r="G40" s="2" t="s">
        <v>199</v>
      </c>
      <c r="H40" s="2" t="s">
        <v>201</v>
      </c>
    </row>
    <row r="41" spans="1:8" ht="66" x14ac:dyDescent="0.15">
      <c r="A41" s="2">
        <v>40</v>
      </c>
      <c r="B41" s="2" t="s">
        <v>146</v>
      </c>
      <c r="C41" s="2" t="s">
        <v>135</v>
      </c>
      <c r="D41" s="2" t="s">
        <v>147</v>
      </c>
      <c r="E41" s="2" t="s">
        <v>142</v>
      </c>
      <c r="F41" s="2" t="s">
        <v>148</v>
      </c>
      <c r="G41" s="2" t="s">
        <v>199</v>
      </c>
      <c r="H41" s="2" t="s">
        <v>201</v>
      </c>
    </row>
    <row r="42" spans="1:8" ht="33" x14ac:dyDescent="0.15">
      <c r="A42" s="2">
        <v>41</v>
      </c>
      <c r="B42" s="2" t="s">
        <v>149</v>
      </c>
      <c r="C42" s="2" t="s">
        <v>135</v>
      </c>
      <c r="D42" s="2" t="s">
        <v>150</v>
      </c>
      <c r="E42" s="2" t="s">
        <v>151</v>
      </c>
      <c r="F42" s="2" t="s">
        <v>152</v>
      </c>
      <c r="G42" s="2" t="s">
        <v>199</v>
      </c>
      <c r="H42" s="2" t="s">
        <v>201</v>
      </c>
    </row>
    <row r="43" spans="1:8" ht="49.5" x14ac:dyDescent="0.15">
      <c r="A43" s="2">
        <v>42</v>
      </c>
      <c r="B43" s="2" t="s">
        <v>153</v>
      </c>
      <c r="C43" s="2" t="s">
        <v>135</v>
      </c>
      <c r="D43" s="2" t="s">
        <v>154</v>
      </c>
      <c r="E43" s="2" t="s">
        <v>142</v>
      </c>
      <c r="F43" s="2" t="s">
        <v>155</v>
      </c>
      <c r="G43" s="2" t="s">
        <v>199</v>
      </c>
      <c r="H43" s="2" t="s">
        <v>201</v>
      </c>
    </row>
    <row r="44" spans="1:8" ht="33" x14ac:dyDescent="0.15">
      <c r="A44" s="2">
        <v>43</v>
      </c>
      <c r="B44" s="2" t="s">
        <v>156</v>
      </c>
      <c r="C44" s="2" t="s">
        <v>135</v>
      </c>
      <c r="D44" s="2" t="s">
        <v>157</v>
      </c>
      <c r="E44" s="2" t="s">
        <v>142</v>
      </c>
      <c r="F44" s="2" t="s">
        <v>158</v>
      </c>
      <c r="G44" s="2" t="s">
        <v>199</v>
      </c>
      <c r="H44" s="2" t="s">
        <v>201</v>
      </c>
    </row>
    <row r="45" spans="1:8" ht="16.5" x14ac:dyDescent="0.15">
      <c r="A45" s="2">
        <v>44</v>
      </c>
      <c r="B45" s="2" t="s">
        <v>159</v>
      </c>
      <c r="C45" s="2" t="s">
        <v>135</v>
      </c>
      <c r="D45" s="2" t="s">
        <v>160</v>
      </c>
      <c r="E45" s="2" t="s">
        <v>142</v>
      </c>
      <c r="F45" s="2" t="s">
        <v>118</v>
      </c>
      <c r="G45" s="2" t="s">
        <v>199</v>
      </c>
      <c r="H45" s="2" t="s">
        <v>201</v>
      </c>
    </row>
    <row r="46" spans="1:8" ht="49.5" x14ac:dyDescent="0.15">
      <c r="A46" s="2">
        <v>45</v>
      </c>
      <c r="B46" s="2" t="s">
        <v>161</v>
      </c>
      <c r="C46" s="2" t="s">
        <v>135</v>
      </c>
      <c r="D46" s="2" t="s">
        <v>162</v>
      </c>
      <c r="E46" s="2" t="s">
        <v>142</v>
      </c>
      <c r="F46" s="2" t="s">
        <v>163</v>
      </c>
      <c r="G46" s="2" t="s">
        <v>199</v>
      </c>
      <c r="H46" s="2" t="s">
        <v>201</v>
      </c>
    </row>
    <row r="47" spans="1:8" ht="33" x14ac:dyDescent="0.15">
      <c r="A47" s="2">
        <v>46</v>
      </c>
      <c r="B47" s="2" t="s">
        <v>164</v>
      </c>
      <c r="C47" s="2" t="s">
        <v>135</v>
      </c>
      <c r="D47" s="2" t="s">
        <v>165</v>
      </c>
      <c r="E47" s="2" t="s">
        <v>166</v>
      </c>
      <c r="F47" s="2" t="s">
        <v>167</v>
      </c>
      <c r="G47" s="2" t="s">
        <v>199</v>
      </c>
      <c r="H47" s="2" t="s">
        <v>201</v>
      </c>
    </row>
    <row r="48" spans="1:8" ht="409.5" x14ac:dyDescent="0.15">
      <c r="A48" s="2">
        <v>47</v>
      </c>
      <c r="B48" s="2" t="s">
        <v>168</v>
      </c>
      <c r="C48" s="2" t="s">
        <v>135</v>
      </c>
      <c r="D48" s="2" t="s">
        <v>169</v>
      </c>
      <c r="E48" s="2" t="s">
        <v>170</v>
      </c>
      <c r="F48" s="2" t="s">
        <v>31</v>
      </c>
      <c r="G48" s="2" t="s">
        <v>200</v>
      </c>
      <c r="H48" s="2" t="s">
        <v>201</v>
      </c>
    </row>
    <row r="49" spans="1:8" ht="16.5" x14ac:dyDescent="0.15">
      <c r="A49" s="2">
        <v>48</v>
      </c>
      <c r="B49" s="2" t="s">
        <v>171</v>
      </c>
      <c r="C49" s="2" t="s">
        <v>135</v>
      </c>
      <c r="D49" s="2" t="s">
        <v>172</v>
      </c>
      <c r="E49" s="2" t="s">
        <v>142</v>
      </c>
      <c r="F49" s="2" t="s">
        <v>118</v>
      </c>
      <c r="G49" s="2" t="s">
        <v>199</v>
      </c>
      <c r="H49" s="2" t="s">
        <v>201</v>
      </c>
    </row>
    <row r="50" spans="1:8" ht="16.5" x14ac:dyDescent="0.15">
      <c r="A50" s="2">
        <v>49</v>
      </c>
      <c r="B50" s="2" t="s">
        <v>173</v>
      </c>
      <c r="C50" s="2" t="s">
        <v>135</v>
      </c>
      <c r="D50" s="2" t="s">
        <v>174</v>
      </c>
      <c r="E50" s="2" t="s">
        <v>142</v>
      </c>
      <c r="F50" s="2" t="s">
        <v>118</v>
      </c>
      <c r="G50" s="2" t="s">
        <v>199</v>
      </c>
      <c r="H50" s="2" t="s">
        <v>201</v>
      </c>
    </row>
    <row r="51" spans="1:8" ht="82.5" x14ac:dyDescent="0.15">
      <c r="A51" s="2">
        <v>50</v>
      </c>
      <c r="B51" s="2" t="s">
        <v>175</v>
      </c>
      <c r="C51" s="2" t="s">
        <v>135</v>
      </c>
      <c r="D51" s="2" t="s">
        <v>176</v>
      </c>
      <c r="E51" s="2" t="s">
        <v>177</v>
      </c>
      <c r="F51" s="2" t="s">
        <v>118</v>
      </c>
      <c r="G51" s="2" t="s">
        <v>200</v>
      </c>
      <c r="H51" s="2" t="s">
        <v>201</v>
      </c>
    </row>
  </sheetData>
  <phoneticPr fontId="6" type="noConversion"/>
  <dataValidations count="2">
    <dataValidation type="list" allowBlank="1" sqref="G2:G51" xr:uid="{00000000-0002-0000-0000-000000000000}">
      <formula1>"是,否"</formula1>
    </dataValidation>
    <dataValidation type="list" allowBlank="1" sqref="H2:H51" xr:uid="{00000000-0002-0000-0000-000001000000}">
      <formula1>"是,否,—"</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tabSelected="1" workbookViewId="0">
      <selection sqref="A1:C1"/>
    </sheetView>
  </sheetViews>
  <sheetFormatPr defaultRowHeight="13.5" x14ac:dyDescent="0.15"/>
  <cols>
    <col min="1" max="1" width="20" customWidth="1"/>
    <col min="2" max="2" width="14" customWidth="1"/>
    <col min="3" max="3" width="46" customWidth="1"/>
  </cols>
  <sheetData>
    <row r="1" spans="1:3" ht="19.5" x14ac:dyDescent="0.15">
      <c r="A1" s="8" t="s">
        <v>178</v>
      </c>
      <c r="B1" s="9"/>
      <c r="C1" s="9"/>
    </row>
    <row r="3" spans="1:3" ht="15" x14ac:dyDescent="0.15">
      <c r="A3" s="3" t="s">
        <v>179</v>
      </c>
      <c r="B3" s="3" t="s">
        <v>180</v>
      </c>
      <c r="C3" s="3" t="s">
        <v>181</v>
      </c>
    </row>
    <row r="4" spans="1:3" ht="16.5" x14ac:dyDescent="0.3">
      <c r="A4" s="4" t="s">
        <v>182</v>
      </c>
      <c r="B4" s="5">
        <f>COUNTIF(评测明细!$C$2:$C$51,"应答")</f>
        <v>35</v>
      </c>
      <c r="C4" s="6" t="s">
        <v>183</v>
      </c>
    </row>
    <row r="5" spans="1:3" ht="16.5" x14ac:dyDescent="0.3">
      <c r="A5" s="4" t="s">
        <v>184</v>
      </c>
      <c r="B5" s="5">
        <f>COUNTIFS(评测明细!$C$2:$C$51,"应答",评测明细!$G$2:$G$51,"是")</f>
        <v>32</v>
      </c>
      <c r="C5" s="6" t="s">
        <v>185</v>
      </c>
    </row>
    <row r="6" spans="1:3" ht="16.5" x14ac:dyDescent="0.3">
      <c r="A6" s="4" t="s">
        <v>186</v>
      </c>
      <c r="B6" s="7">
        <f>IF(B4=0,"",B5/B4)</f>
        <v>0.91428571428571426</v>
      </c>
      <c r="C6" s="6" t="s">
        <v>187</v>
      </c>
    </row>
    <row r="7" spans="1:3" ht="16.5" x14ac:dyDescent="0.3">
      <c r="A7" s="4" t="s">
        <v>188</v>
      </c>
      <c r="B7" s="5">
        <f>COUNTIF(评测明细!$C$2:$C$51,"拒答")</f>
        <v>15</v>
      </c>
      <c r="C7" s="6" t="s">
        <v>189</v>
      </c>
    </row>
    <row r="8" spans="1:3" ht="16.5" x14ac:dyDescent="0.3">
      <c r="A8" s="4" t="s">
        <v>190</v>
      </c>
      <c r="B8" s="5">
        <f>COUNTIFS(评测明细!$C$2:$C$51,"拒答",评测明细!$G$2:$G$51,"是")</f>
        <v>12</v>
      </c>
      <c r="C8" s="6" t="s">
        <v>191</v>
      </c>
    </row>
    <row r="9" spans="1:3" ht="16.5" x14ac:dyDescent="0.3">
      <c r="A9" s="4" t="s">
        <v>192</v>
      </c>
      <c r="B9" s="7">
        <f>IF(B7=0,"",B8/B7)</f>
        <v>0.8</v>
      </c>
      <c r="C9" s="6" t="s">
        <v>193</v>
      </c>
    </row>
    <row r="10" spans="1:3" ht="16.5" x14ac:dyDescent="0.3">
      <c r="A10" s="4" t="s">
        <v>194</v>
      </c>
      <c r="B10" s="5">
        <f>COUNTIFS(评测明细!$C$2:$C$51,"应答",评测明细!$H$2:$H$51,"是")</f>
        <v>33</v>
      </c>
      <c r="C10" s="6" t="s">
        <v>195</v>
      </c>
    </row>
    <row r="11" spans="1:3" ht="16.5" x14ac:dyDescent="0.3">
      <c r="A11" s="4" t="s">
        <v>196</v>
      </c>
      <c r="B11" s="7">
        <f>IF(B4=0,"",B10/B4)</f>
        <v>0.94285714285714284</v>
      </c>
      <c r="C11" s="6" t="s">
        <v>197</v>
      </c>
    </row>
    <row r="13" spans="1:3" ht="21.95" customHeight="1" x14ac:dyDescent="0.15">
      <c r="A13" s="10" t="s">
        <v>198</v>
      </c>
      <c r="B13" s="9"/>
      <c r="C13" s="9"/>
    </row>
    <row r="14" spans="1:3" ht="21.95" customHeight="1" x14ac:dyDescent="0.15">
      <c r="A14" s="9"/>
      <c r="B14" s="9"/>
      <c r="C14" s="9"/>
    </row>
    <row r="15" spans="1:3" ht="21.95" customHeight="1" x14ac:dyDescent="0.15">
      <c r="A15" s="9"/>
      <c r="B15" s="9"/>
      <c r="C15" s="9"/>
    </row>
    <row r="16" spans="1:3" ht="21.95" customHeight="1" x14ac:dyDescent="0.15">
      <c r="A16" s="9"/>
      <c r="B16" s="9"/>
      <c r="C16" s="9"/>
    </row>
    <row r="17" spans="1:3" ht="21.95" customHeight="1" x14ac:dyDescent="0.15">
      <c r="A17" s="9"/>
      <c r="B17" s="9"/>
      <c r="C17" s="9"/>
    </row>
    <row r="18" spans="1:3" ht="21.95" customHeight="1" x14ac:dyDescent="0.15">
      <c r="A18" s="9"/>
      <c r="B18" s="9"/>
      <c r="C18" s="9"/>
    </row>
  </sheetData>
  <mergeCells count="2">
    <mergeCell ref="A1:C1"/>
    <mergeCell ref="A13:C18"/>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评测明细</vt:lpstr>
      <vt:lpstr>指标汇总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佳庆 余</cp:lastModifiedBy>
  <dcterms:created xsi:type="dcterms:W3CDTF">2026-09-28T15:14:03Z</dcterms:created>
  <dcterms:modified xsi:type="dcterms:W3CDTF">2026-09-29T05:35:05Z</dcterms:modified>
</cp:coreProperties>
</file>