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rag-qa-webapp\backend\"/>
    </mc:Choice>
  </mc:AlternateContent>
  <xr:revisionPtr revIDLastSave="0" documentId="13_ncr:1_{008BED68-5195-4B75-9801-2A16D4DB929B}" xr6:coauthVersionLast="47" xr6:coauthVersionMax="47" xr10:uidLastSave="{00000000-0000-0000-0000-000000000000}"/>
  <bookViews>
    <workbookView xWindow="14295" yWindow="0" windowWidth="14610" windowHeight="15585" xr2:uid="{00000000-000D-0000-FFFF-FFFF00000000}"/>
  </bookViews>
  <sheets>
    <sheet name="参数对比" sheetId="1" r:id="rId1"/>
    <sheet name="对比汇总"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 i="2" l="1"/>
  <c r="E7" i="2" s="1"/>
  <c r="C7" i="2"/>
  <c r="B7" i="2"/>
  <c r="D6" i="2"/>
  <c r="E6" i="2" s="1"/>
  <c r="C6" i="2"/>
  <c r="B6" i="2"/>
  <c r="D5" i="2"/>
  <c r="E5" i="2" s="1"/>
  <c r="C5" i="2"/>
  <c r="B5" i="2"/>
  <c r="D4" i="2"/>
  <c r="E4" i="2" s="1"/>
  <c r="C4" i="2"/>
  <c r="B4" i="2"/>
</calcChain>
</file>

<file path=xl/sharedStrings.xml><?xml version="1.0" encoding="utf-8"?>
<sst xmlns="http://schemas.openxmlformats.org/spreadsheetml/2006/main" count="243" uniqueCount="133">
  <si>
    <t>编号</t>
  </si>
  <si>
    <t>问题</t>
  </si>
  <si>
    <t>类型</t>
  </si>
  <si>
    <t>期望要点</t>
  </si>
  <si>
    <t>k=2
答案</t>
  </si>
  <si>
    <t>k=2
判定(是/否)</t>
  </si>
  <si>
    <t>k=3(基线)
答案</t>
  </si>
  <si>
    <t>k=3(基线)
判定(是/否)</t>
  </si>
  <si>
    <t>k=5
答案</t>
  </si>
  <si>
    <t>k=5
判定(是/否)</t>
  </si>
  <si>
    <t>Rerank(10→3)
答案</t>
  </si>
  <si>
    <t>Rerank(10→3)
判定(是/否)</t>
  </si>
  <si>
    <t>LangChain中一个最简单的LLM应用由哪几部分组成？</t>
  </si>
  <si>
    <t>应答</t>
  </si>
  <si>
    <t>提示词模板、模型、输出解析器</t>
  </si>
  <si>
    <t>根据参考资料[1]，LangChain中一个最简单的LLM应用由以下两部分组成：
- **一次LLM调用**  
- **一些提示（prompt）**
原文明确指出：“这个应用程序可以将文本从英语翻译成另一种语言。这是一个相对简单的 LLM 应用程序——它只是一个 LLM 调用加上一些提示。”[1]
该描述强调其极简结构，未涉及链（Chain）、智能体（Agent）或记忆（Memory）等更高级组件（这些属于LangChain的其他关键组件，见[2]），因此在“最简单”语境下，仅包含LLM调用与提示即可构成完整应用。
答案：一次LLM调用和一些提示[1]。</t>
  </si>
  <si>
    <t>根据参考资料[1]，LangChain中一个最简单的LLM应用由以下两部分组成：
- **一次LLM调用**  
- **一些提示（prompt）**
原文明确指出：“这是一个相对简单的 LLM 应用程序——它只是一个 LLM 调用加上一些提示。”[1]
该示例应用是将文本从英语翻译成另一种语言，不涉及链（Chain）、智能体（Agent）或记忆（Memory）等更复杂组件，因此体现了“最简单”的层级。
[1]</t>
  </si>
  <si>
    <t>根据参考资料[1]，LangChain中一个最简单的LLM应用由以下两部分组成：
- **一次LLM调用**（LLM call）  
- **一些提示**（prompt）
原文明确指出：“这是一个相对简单的 LLM 应用程序——它只是一个 LLM 调用加上一些提示。”[1]
该示例应用是将文本从英语翻译成另一种语言，不涉及链（Chain）、智能体（Agent）、记忆（Memory）或工具（Tool）等更高级组件，因此体现了“最简单”的构成形式。
其他资料（如[2][4][5]）虽提及LangChain的更多组件（如链、智能体、记忆、工具），但均针对更复杂的应用场景，不适用于“最简单”这一限定条件。
答案：一次LLM调用和一些提示[1]。</t>
  </si>
  <si>
    <t>根据参考资料[1]，LangChain中一个最简单的LLM应用由以下两部分组成：
- **一次LLM调用**  
- **一些提示（prompt）**
原文明确指出：“这是一个相对简单的 LLM 应用程序——它只是一个 LLM 调用加上一些提示。”[1]
该示例应用是将文本从英语翻译成另一种语言，不涉及复杂链（Chain）、记忆（Memory）、检索（Retrieval）或工具（Tools），仅依赖基础的提示工程与单次大模型推理。
[1]</t>
  </si>
  <si>
    <t>什么是提示词模板（PromptTemplate）？</t>
  </si>
  <si>
    <t>模板字符串+输入变量</t>
  </si>
  <si>
    <t>提示词模板（PromptTemplate）是用于构造大语言模型输入提示（prompt）的可复用、参数化的模板工具。它允许开发者将固定的系统指令、用户输入、历史消息等结构化内容，通过变量插值和占位符机制动态组合成符合模型输入要求的完整提示文本。
在 LangChain 中，`ChatPromptTemplate` 是专为对话场景设计的提示模板类，支持多角色消息（如 `"system"`、`"human"`、`"ai"`）和动态占位符（如 `MessagesPlaceholder`），便于与聊天模型（如 ChatOpenAI）集成。例如，参考资料[1]中定义的模板使用了系统消息中的 `{language}` 变量和 `MessagesPlaceholder` 占位符，使得模板可在运行时注入具体语言和历史消息序列，实现灵活、可配置的提示生成[1]。
其核心特性包括：参数化变量插值、消息类型区分、与消息序列的无缝集成，以及与 LangChain 链（Chain）和代理（Agent）的兼容性[2]。
[1][2]</t>
  </si>
  <si>
    <t>提示词模板（PromptTemplate）是 LangChain 中用于定义和格式化提示（prompt）的工具，它允许用户将静态文本与动态变量结合，从而生成可复用、参数化的提示。例如，通过 `PromptTemplate.from_template()` 可以创建一个包含占位符（如 `{context}`、`{question}`）的模板，并在运行时用实际值填充[3]。
它与 `ChatPromptTemplate` 不同：后者专为聊天场景设计，支持角色化消息（如 `"system"`、`"human"`）和 `MessagesPlaceholder` 等结构化组件；而 `PromptTemplate` 更适用于单轮文本生成任务[3]。
[3]</t>
  </si>
  <si>
    <t>提示词模板（`PromptTemplate`）是 LangChain 中用于定义和格式化提示（prompt）的工具，它允许用户通过占位符（如 `{docs}`、`{language}` 等）构建可复用、参数化的提示字符串。当传入具体的输入值（如文档内容、语言偏好等）时，`PromptTemplate` 会将这些值代入模板，生成最终的、模型可接收的提示文本。
根据参考资料，`PromptTemplate` 的核心特性包括：
- 支持字符串模板语法（如 `"""Use the following pieces of context... {docs}"""`）[3]；  
- 可通过 `.format()` 或与链式组件（如 LLM、输出解析器）配合，自动填充输入变量[4]；  
- 是基础提示构造单元，适用于非聊天场景（对比 `ChatPromptTemplate`，后者专为多角色消息序列设计）[3][4]；  
- 常用于 RAG 等流程中，将检索到的上下文（`context`）和用户问题动态注入提示[3]。
注意：`ChatPromptTemplate` 是其扩展形式，支持系统（system）、用户（user）、助手（assistant）等角色消息，并可结合 `MessagesPlaceholder` 处理历史对话序列[1][5]。
因此，`PromptTemplate` 本质是一个**参数化字符串模板引擎**，用于结构化、可维护地生成大模型输入提示[3][4]。  
[3][4]</t>
  </si>
  <si>
    <t>提示词模板（PromptTemplate）是 LangChain 中的一个概念，旨在协助将原始用户输入转换为准备传递给语言模型的格式化提示（即消息列表）。它接收原始用户输入（可能包含多个变量），并返回一个结构化的提示，通常用于标准化和复用提示构造逻辑。
例如，一个提示词模板可以接收 `language` 和 `text` 两个变量，生成针对翻译任务的特定提示；或如进阶用法中，结合系统消息与消息占位符（如 `MessagesPlaceholder`），构建支持多轮对话的 `ChatPromptTemplate`[1][2]。</t>
  </si>
  <si>
    <t>LangChain如何让大模型流式输出？</t>
  </si>
  <si>
    <t>.stream()逐token输出</t>
  </si>
  <si>
    <t>LangChain 通过其 `.stream()` 方法实现大模型的流式输出。具体而言，在 LangGraph 应用程序中，调用 `app.stream(..., stream_mode="messages")` 可以逐个流式返回模型生成的输出令牌（tokens），而非等待整个响应完成后再一次性返回。
根据参考资料，`stream_mode="messages"` 模式允许应用程序在模型生成每个消息片段（即 token 级别）时立即输出，从而支持实时、渐进式的响应展示，显著提升聊天机器人的用户体验[2]。此外，该机制底层可在 LangSmith 追踪中可视化观察各步骤的流式执行过程[1]。
因此，LangChain 实现流式输出的核心方式是：**调用 `.stream()` 方法并指定 `stream_mode="messages"`，结合 LangChain/LangGraph 对 LLM 调用的原生流式支持（如 `stream=True` 的模型调用封装）**。
[1][2]</t>
  </si>
  <si>
    <t>LangChain 通过将聊天模型设计为 **Runnables**（可运行组件），提供了标准化的流式调用接口，从而实现大模型的流式输出。具体方式如下：
- 聊天模型支持 `.stream()` 方法，该方法在生成每个 token 时逐个返回，而非等待整个响应完成后再返回。例如：
  ```python
  for token in model.stream(messages):
      print(token.content, end="|")
  ```
  输出示例：`|C|iao|!||`，表明每个 token（如 `"C"`、`"iao"`、`"!"`）被独立流式输出[3]。
- 在 LangGraph 应用中，可通过 `app.stream(..., stream_mode="messages")` 启用消息级流式传输，此时底层会流式返回模型生成的输出 token（即对单个模型调用步骤进行流式处理）[2]。
- 此流式能力基于 LangChain 对底层 LLM SDK（如 OpenAI、Anthropic 等）的封装，统一暴露 `.stream()` 接口，并兼容多种输入格式（如字符串、OpenAI 格式字典或 `HumanMessage` 对象）[3]。
综上，LangChain 通过 Runnable 抽象和标准化 `.stream()` 方法，使开发者能以一致方式实现大模型 token 级流式输出[2][3]。</t>
  </si>
  <si>
    <t>LangChain 通过其聊天模型（ChatModel）作为 **Runnables** 的标准接口，支持流式输出（streaming）大模型的生成结果。具体实现方式如下：
1. **调用 `.stream()` 方法**：  
   聊天模型支持 `model.stream(messages)` 接口，可逐个流式返回生成的 token。每个 token 是一个 `AIMessageChunk`（或类似消息对象），可通过 `.content` 属性获取文本片段。例如：
   ```python
   for token in model.stream(messages):
       print(token.content, end="|")
   ```
   输出示例：`|C|iao|!||`[3]。
2. **在 LangGraph 应用中使用 `.stream()` 并指定 `stream_mode`**：  
   - 默认 `.stream()` 流式传输的是**应用步骤**（如整个模型响应步骤）；  
   - 设置 `stream_mode="messages"` 可进一步流式传输**消息内部的 token 级别输出**（即细粒度 token 流）[2][4]；  
   - 注意：使用 `message.text()` 提取内容需 `langchain-core&gt;=0.3.37`[4]。
3. **输入格式兼容性**：  
   支持多种输入格式（字符串、OpenAI 格式字典、LangChain 消息类如 `HumanMessage`），均适用于流式调用[3]。
综上，LangChain 通过 Runnable 协议统一暴露 `.stream()` 方法，并结合 `stream_mode` 配置（如 `"messages"`），实现从应用层到 token 层的灵活流式输出[2][3][4]。
[2][3][4]</t>
  </si>
  <si>
    <t>LangChain 通过将聊天模型设计为 **[Runnables](&lt;/docs/concepts/runnables/&gt;)**，提供了标准的流式调用接口。具体而言，可使用 `model.stream(messages)` 方法对聊天模型进行流式调用，该方法逐个返回模型生成的 token（如 `token.content`），从而实现逐字/逐 token 的输出。
例如：
```python
for token in model.stream(messages):
    print(token.content, end="|")
```
输出效果类似：`|C|iao|!||`
此机制支持实时响应场景（如聊天界面），且兼容异步调用模式[2]。更详细的实现说明可参考官方指南《[chat_streaming](&lt;/docs/how_to/chat_streaming/&gt;)》[3]。
[2][3]</t>
  </si>
  <si>
    <t>什么是检索增强生成（RAG）？</t>
  </si>
  <si>
    <t>先检索再生成、减少幻觉</t>
  </si>
  <si>
    <t>检索增强生成（RAG，Retrieval Augmented Generation）是一种技术，用于增强大型语言模型（LLM）在问答（Q&amp;A）等任务中的表现，使其能够基于特定源信息（如文档、数据库或知识库）准确回答问题。RAG 通过将**检索（retrieval）**与**生成（generation）**两个步骤结合：首先从外部知识源中检索相关文档片段，再将这些片段作为上下文输入给 LLM，从而生成更准确、可溯源、且时效性更强的回答[1]。
该技术有效缓解了 LLM 的固有局限，例如知识截止、幻觉（hallucination）以及难以访问私有或领域专有数据等问题[1]。
[1]</t>
  </si>
  <si>
    <t>检索增强生成（RAG，Retrieval Augmented Generation）是一种将外部知识检索与大型语言模型（LLM）生成能力相结合的技术，用于提升模型在特定领域或私有数据上的问答准确性与可靠性。它通过在生成答案前，先从结构化或非结构化的外部知识源（如文档、数据库、网页等）中检索相关信息，再将检索结果与用户查询一并输入LLM，从而实现“基于事实”的响应[1]。
RAG 应用通常包含两个核心阶段：  
- **索引**：离线进行，负责从原始数据源（如PDF、网页、数据库）中提取、分块、嵌入并存储为可检索的向量索引；  
- **检索和生成**：在线运行，接收用户查询，经查询分析（如提取关键词、过滤时间等）后，从索引中检索相关片段，再交由LLM综合生成最终答案[3]。
例如，对查询 `"how do I build a RAG agent"`，查询分析器可提取出核心意图 `build RAG agent`；对 `"videos on RAG published in 2023"`，则能识别出主题 `RAG` 和时间约束 `publish_year=2023`，从而支持精准检索[2]。
[1][3]</t>
  </si>
  <si>
    <t>检索增强生成（Retrieval Augmented Generation，简称 RAG）是一种技术，用于增强大型语言模型（LLM）在特定源信息上的问答能力。它通过在生成答案前先从外部知识源中检索相关文档或信息片段，并将这些检索结果与用户查询一同输入模型，从而提升回答的准确性、可追溯性和事实一致性。
根据参考资料，RAG 应用程序包含两个主要组件：  
- **索引**：离线进行的数据摄取与向量化索引构建过程；  
- **检索和生成**：运行时接收用户查询，从索引中检索相关内容，再交由 LLM 生成最终答案[3]。
该技术被广泛应用于构建复杂的问答（Q&amp;A）聊天机器人，尤其适用于需要基于私有或领域特定文档进行回答的场景[1]。
[1][3]</t>
  </si>
  <si>
    <t>检索增强生成（RAG，Retrieval Augmented Generation）是一种技术，用于增强大型语言模型（LLM）在特定源信息上的问答能力。它通过在生成答案前先从外部知识源中检索相关信息，再将检索到的内容与用户查询一同输入模型，从而提升回答的准确性、相关性和事实依据。
RAG 应用通常包含两个主要组件：  
- **索引**：离线进行，负责从原始数据源摄取、处理（如分块、嵌入）并构建可检索的向量索引；  
- **检索和生成**：在线运行，接收用户查询，检索最相关的文档片段，并将其与查询一起送入 LLM 生成最终答案[3]。
该技术广泛应用于构建基于私有或领域特定数据的智能问答系统[1]。
[1][3]</t>
  </si>
  <si>
    <t>文档为什么要切分成小块（chunk）？</t>
  </si>
  <si>
    <t>适配上下文、提高检索精度</t>
  </si>
  <si>
    <t>文档需要切分成小块（chunk）的主要原因有两个：
1. **适配模型的上下文窗口限制**：许多语言模型具有有限的上下文长度（如4K、8K或32K token），而原始文档（例如超过42k字符）过长，无法完整输入模型。切分后的小块可以单独送入模型处理[2]。
2. **提升检索精度与效率**：大型文档难以在向量搜索中准确定位相关信息；将文档切分为语义更聚焦的块后，嵌入和向量存储能更精准地匹配用户查询的相关片段，从而在检索阶段只返回最相关的部分，而非整篇冗长内容[1]。
此外，切分还有助于提高嵌入质量——较小且语义连贯的文本块通常能生成更具区分度的向量表示[1]。
[1][2]</t>
  </si>
  <si>
    <t>文档需要切分成小块（chunk）主要有以下两个原因：
1. **适配模型的上下文窗口限制**：许多语言模型具有有限的上下文长度（如42k字符），原始文档可能过长，无法完整输入模型。切分后的小块可以确保每块都能被模型有效处理[1][2]。
2. **提升检索精度与语义完整性**：  
   - 单个完整页面或文档作为检索单元过于粗粒度，可能导致相关语义被无关内容“冲淡”；  
   - 切分后可更精准地定位并检索与查询最相关的局部内容；  
   - 采用重叠切分（如1000字符块+200字符重叠）并使用递归分割器（如`RecursiveCharacterTextSplitter`），有助于保留语句与其关键上下文的连贯性，避免语义断裂[3]。
综上，切分既是技术约束（模型输入限制）的必要应对，也是信息检索效果优化的关键步骤[1][2][3]。</t>
  </si>
  <si>
    <t>文档需要切分成小块（chunk）主要有以下两个原因，均来自参考资料：
1. **适应模型的上下文窗口限制**：许多语言模型具有有限的上下文窗口，无法处理过长的输入。例如，参考资料[2]指出：“我们加载的文档超过 42k 字符，太长了，无法适应许多模型的上下文窗口。” 切分可确保每个块长度可控，便于后续嵌入和模型调用[2]。
2. **提升检索的准确性与效率**：大块文档（如整页PDF）是“过于粗粒度的表示”，相关语义易被无关上下文“冲淡”；切分后能更精准定位答案所在片段。参考资料[3]明确说明：“进一步分割PDF将有助于确保文档中相关部分的含义不会被周围文本‘冲淡’”，且重叠切分（如200字符重叠）还能减少语句与关键上下文分离的风险[3]。此外，参考资料[4][5]也强调切分是构建高效向量索引、实现“更简洁、更准确”检索的前提[4][5]。
综上，切分既是技术约束（模型输入长度）所需，也是信息检索效果优化的关键步骤。
[1][2][3][4][5]</t>
  </si>
  <si>
    <t>文档需要切分成小块（chunk）的主要原因有两个，均来自参考资料：
1. **适应模型的上下文窗口限制**：许多语言模型的上下文窗口有限，无法处理过长的输入。例如，参考资料[1]指出：“我们加载的文档超过 42k 字符，太长了，无法适应许多模型的上下文窗口。” 直接输入超长文档会导致截断或报错，影响模型正常推理。
2. **提升检索效率与准确性**：大块文档难以精准搜索和匹配查询意图。切分后，向量存储可对语义更聚焦的小块进行嵌入和索引，从而在检索阶段只返回最相关的片段，而非整篇冗长文档。参考资料[2]明确说明：“这对于索引数据和将其传递给模型都很有用，因为大型块难以搜索，并且无法适应模型的有限上下文窗口”；参考资料[3]也强调分块能使“检索更简洁、更准确”。
综上，切分是连接文档加载与向量检索的关键预处理步骤，兼顾模型输入约束与语义检索性能[1][2][3]。</t>
  </si>
  <si>
    <t>本地RAG应用通常用什么加载本地文档？</t>
  </si>
  <si>
    <t>文档加载器Document Loader</t>
  </si>
  <si>
    <t>抱歉，知识库中没有相关信息。[1][2]</t>
  </si>
  <si>
    <t>否</t>
  </si>
  <si>
    <t>抱歉，知识库中没有相关信息。[1][2][3]</t>
  </si>
  <si>
    <t>本地RAG应用通常使用 **LangChain 的文档加载器（Document Loaders）** 来加载本地文档。
参考资料明确指出：“LangChain生态系统实现了[文档加载器](&lt;/docs/concepts/document_loaders/)，可与[数百种常见来源集成](&lt;/docs/integrations/document_loaders/)。这使得将这些来源的数据轻松集成到您的AI应用程序中变得简单。”[5]  
此外，教程上下文虽未指定某一个具体加载器（如 `TextLoader` 或 `PyPDFLoader`），但强调了文档加载器是标准且通用的机制，并支持多种本地文件格式（如文本、PDF、Word等）——这属于 LangChain 文档加载器范畴。
因此，答案是：**文档加载器（Document Loaders）**。[5]</t>
  </si>
  <si>
    <t>多轮对话中如何让检索器听懂带代词的追问？</t>
  </si>
  <si>
    <t>历史感知检索器改写问题</t>
  </si>
  <si>
    <t>根据提供的参考资料，问题“多轮对话中如何让检索器听懂带代词的追问？”的核心在于**整合历史消息（即对话记忆）以支持上下文感知的检索**。
资料明确指出，本教程（第二部分）的重点正是“**添加整合历史消息的逻辑**”，并强调需管理[聊天历史](&lt;/docs/concepts/chat_history/&gt;)。为使检索器能正确解析含代词（如“它”“这个”“之前提到的”）的追问，必须将当前问题与过往对话上下文联合处理，否则检索器仅看到孤立的、缺乏指代对象的代词，无法准确检索。
为此，资料介绍了两种技术路径：
1. **链（Chains）方法**：通过预定义逻辑将聊天历史显式注入提示（prompt），例如拼接历史消息+当前问题，再送入检索器；但该方式**最多执行一个检索步骤**，适用于简单指代消解[2]。
2. **代理（Agents）方法**：赋予LLM自主决策权，可**迭代执行多个检索步骤**——例如先检索前序对话中提及的实体，再基于该结果重写或澄清当前代词追问，最后执行目标检索[2]。这更适配复杂指代和多跳推理。
此外，资料提示可进一步参考[如何添加消息历史（记忆）](&lt;/docs/how_to/message_history/&gt;)指南获取详细演练，说明该能力依赖于LangChain的对话记忆抽象实现[1]。
综上，关键机制是：**将聊天历史与当前问题协同输入，通过链（单步）或代理（多步）架构实现上下文感知的检索**。
[1][2]</t>
  </si>
  <si>
    <t>在多轮对话中，让检索器理解带代词的追问（如“它”“这个”“之前提到的”等），关键在于**将代词所指的上下文显式还原为具体实体或语义内容**，而非直接将含代词的原始问题送入检索器。
根据参考资料，LangChain 提供了两种主流机制来实现这一点：
1. **链（Chains）方式**：使用带消息历史（chat history）的链，在生成检索查询前，由 LLM 将当前问题与历史对话融合重写（query rewriting），生成**自包含、无指代歧义的独立查询**。参考资料[3]明确指出：“模型在第二个问题中生成的查询融入了对话上下文”，即通过提示工程引导 LLM 显式展开代词、补全主语，确保检索器接收的是语义完整的查询[3]。
2. **代理（Agents）方式**：代理可自主决定是否调用工具（如检索器）多次，并在每步中动态利用历史消息。LangGraph 的 ReAct 代理构造函数支持内置的消息历史管理，使 LLM 能在推理过程中参考先前交互，从而自然消解代词指代[2][3]。但需注意，代理本身不自动改写查询——其效果依赖于底层提示设计是否包含“基于历史重写当前问题”的指令。
因此，标准实践是：**在检索前插入一个“查询重写（Query Rewriting / Query Refinement）步骤”，将当前用户输入与最近的聊天历史（尤其是上一轮问答）合并，由 LLM 输出一个去指代、上下文完备的检索查询**。该方法被 LangChain 官方文档隐含推荐，例如在“如何添加消息历史”指南中强调“整合历史消息的逻辑”是核心目标[2]。
综上，解决代词理解问题的核心不是修改检索器本身，而是通过对话状态管理 + 查询重写，将模糊的指代性提问转化为明确的检索请求。
[2][3]</t>
  </si>
  <si>
    <t>在多轮对话中，让检索器“听懂”带代词的追问（如“它”“这个”“之前提到的”等），关键在于**将代词所指的上下文显式还原为具体实体或语义内容**，而非依赖检索器自身理解指代关系——因为标准检索器（如向量检索）不具备指代消解（coreference resolution）能力。
根据参考资料，LangChain 中的解决方案是：  
✅ **在生成检索查询前，由 LLM（通过代理或链）将当前问题与聊天历史融合，重写为自包含（self-contained）、无代词的查询**。  
参考资料 [3] 明确指出：“模型在第二个问题中生成的查询融入了对话上下文”，即 LLM 会基于历史消息，将模糊的代词追问（如“它的性能如何？”）重写为明确查询（如“Llama-3.1-8B 模型的推理延迟和吞吐量如何？”）。这一过程称为**查询重写（query rewriting）或上下文增强（contextual query expansion）**。
进一步地，参考资料 [2] 和 [4] 强调：  
- 使用 **代理（Agent）** 可支持多步检索，其中 LLM 自主决定是否需先澄清指代、再检索；  
- 使用 **链（Chain）** 则通常在单步中完成历史整合 + 查询重写 + 检索 + 回答，例如通过 `ConversationBufferMemory` 或 `ConversationSummaryMemory` 管理历史，并在 prompt 中显式要求“将用户最新问题与上述对话历史合并，生成独立、无代词的检索查询”。
因此，技术路径是：  
1. 维护结构化聊天历史（含角色、时间、内容）；  
2. 在检索前调用 LLM 执行查询重写（prompt 中指令如：“请根据以上对话，将用户问题改写为不含代词、可独立检索的完整问题”）；  
3. 对重写后的查询执行向量检索。
该机制不依赖检索器本身理解代词，而是将指代消解任务卸载给具备语言推理能力的 LLM，再交由检索器处理语义明确的查询。
[2][3]</t>
  </si>
  <si>
    <t>在多轮对话中，让检索器理解带代词的追问（如“它”“这个”“之前提到的”等），关键在于**将代词指代的对象显式还原为具体实体或上下文**，而检索器本身通常不具备指代消解（coreference resolution）能力。根据参考资料，解决方案主要依赖于**聊天历史（chat history）的整合与上下文增强**：
- 教程第二部分明确指出，该部分重点是“**添加整合历史消息的逻辑**”，并涉及[聊天历史](&lt;/docs/concepts/chat_history/&gt;)的管理[3]；
- 为支持对话式交互，系统需将当前问题与过往对话历史结合，重写或扩展为**自包含（self-contained）的问题**，即消除代词依赖、显式补全指代内容；
- 实现方式包括：
  - **链（Chains）**：在单次检索前，利用LLM或规则对当前问题+历史进行重写（如将“它是什么？”改写为“LangSmith 是什么？”）；
  - **代理（Agents）**：赋予LLM自主决策权，可主动调用工具（如历史查询、指代解析模块）来澄清或重构问题，再执行多步检索[3]。
因此，核心机制不是让检索器“听懂”代词，而是通过**对话历史管理 + 问题重写/重构**，将含代词的追问转化为检索器可处理的明确查询。
[2][3]</t>
  </si>
  <si>
    <t>什么是智能体（Agent）？</t>
  </si>
  <si>
    <t>LLM推理、自主调工具、循环完成</t>
  </si>
  <si>
    <t>智能体（Agent）是一种能够基于大语言模型（LLM）的推理能力，自主规划并调用工具（tools）来完成复杂任务的系统。它不仅依赖于模型的生成能力，还通过“思考—行动—观察”循环（think-act-observe loop）动态决定下一步操作，例如调用搜索API、查询数据库或执行代码等。
根据LangChain官方中文文档，智能体的核心特征包括：
- **自主决策**：根据当前目标和观测到的信息，决定是否调用工具及调用哪个工具；
- **工具集成**：可接入多种外部工具（如Google Search、Python REPL、SQL数据库等）以扩展能力边界；
- **链式推理**：支持多步推理与迭代执行，而非单次提示响应；
- **可定制化流程**：可通过定义提示模板、选择不同代理类型（如Zero-shot React、Plan-and-Execute等）或结合LangGraph构建状态化、有向图结构的代理工作流[1]。
更深入的概念可参考LangChain的[概念指南](/docs/concepts/agents/)及LangGraph的[代理架构](https://github.langchain.ac.cn/langgraph/concepts/agentic_concepts/)页面[2]。</t>
  </si>
  <si>
    <t>智能体（Agent）是 LangChain 中支持创建的一种系统，它使用大型语言模型（LLM）作为推理引擎，来决定采取哪些行动以及执行这些行动所需的输入。在执行行动后，行动结果会被反馈给大型语言模型，以判断是否需要继续执行更多行动，还是可以结束任务。这一过程通常通过工具调用（tool calling）实现[3]。</t>
  </si>
  <si>
    <t>智能体（Agent）是使用大型语言模型（LLM）作为其核心推理引擎的系统，用于决定采取哪些行动以及执行这些行动所需的输入。在执行行动后，行动结果会被反馈给大型语言模型，以判断是否需要进一步行动，还是可以结束任务。这一过程通常通过**工具调用**（tool calling）实现[3]。
简言之，智能体是一个能自主规划、调用工具、响应环境反馈并支持多轮交互的自动化系统，其核心能力源于LLM的推理与决策能力[3]。</t>
  </si>
  <si>
    <t>智能体（Agent）是使用大型语言模型（LLM）作为推理引擎，来决定采取哪些行动以及执行行动所需输入的系统。在执行行动后，可以将结果反馈给大型语言模型，以判断是否需要进一步行动，或是否可以结束任务。这一过程通常通过工具调用（tool calling）实现[1]。</t>
  </si>
  <si>
    <t>LangChain中有哪几种聊天消息类型？</t>
  </si>
  <si>
    <t>Human/AI/System三类消息</t>
  </si>
  <si>
    <t>根据提供的参考资料，LangChain 中明确提及的聊天消息类型包括：
- `HumanMessage`：表示人类用户发送的消息[1][2]  
- `SystemMessage`：表示系统级别的指令或上下文设置消息[1]
参考资料中仅列出了这两种消息类型（`HumanMessage` 和 `SystemMessage`），未提及其他类型（如 `AIMessage`、`ToolMessage` 等）。因此，依据当前知识库内容，可确认的聊天消息类型为上述两种。
注意：实际 LangChain 框架中还存在其他消息类型（如 `AIMessage`、`FunctionMessage`、`ToolMessage` 等），但这些**未在所提供的参考资料中出现**，故不纳入本回答范围。
答案：`HumanMessage` 和 `SystemMessage`[1][2]</t>
  </si>
  <si>
    <t>根据参考资料，LangChain 中明确提到的聊天消息类型有：
- `HumanMessage`：表示用户（human）发送的消息，参考资料 [1] 和 [2] 均提供了其 API 文档链接[1][2]。  
- `SystemMessage`：表示系统（system）设定的指令或上下文，参考资料 [1] 中列出了该类型[1]。
虽然参考资料未直接列出其他消息类型（如 `AIMessage`、`ToolMessage` 等），但依据 LangChain 官方文档惯例及 `OpenAI 格式`（参考 [3] 中提及的 `"role": "user"`）可推知还存在 `AIMessage`（对应 `"role": "assistant"`）等类型；然而，**仅依据所提供参考资料，明确指出的消息类型仅有 `HumanMessage` 和 `SystemMessage`**。
因此，答案为：  
LangChain 中明确提及的聊天消息类型有 `HumanMessage` 和 `SystemMessage`[1]。</t>
  </si>
  <si>
    <t>根据参考资料，LangChain 中明确提到的聊天消息类型包括：
- `HumanMessage`：表示用户（人类）发送的消息[1][2]  
- `SystemMessage`：表示系统指令或上下文设置的消息[1]  
- `AIMessage`：表示 AI 模型生成的回复消息[5]
这些是 LangChain 核心消息类（`langchain_core.messages`）中定义的标准消息类型。参考资料中未提及其他消息类型（如 `ToolMessage`、`FunctionMessage` 等），因此依据当前资料，可确认的聊天消息类型为以上三种。
答案：`HumanMessage`、`SystemMessage` 和 `AIMessage`[1][2][5]</t>
  </si>
  <si>
    <t>根据参考资料，LangChain 中支持的聊天消息类型包括：
- **字符串（str）**：可直接作为输入，例如 `"Hello"`，LangChain 会自动将其转换为用户消息[1]。  
- **OpenAI 格式字典列表**：如 `[{"role": "user", "content": "Hello"}]`，符合 OpenAI 的 `role`/`content` 结构[1]。  
- **`HumanMessage` 对象**：LangChain 提供的消息类之一，用于表示用户消息，例如 `HumanMessage("Hello")`[1]。
虽然参考资料未明确列出所有消息类（如 `AIMessage`、`SystemMessage`、`ToolMessage` 等），但提到了 `MessagesPlaceholder` 可用于占位各类消息，并在示例中使用了系统角色（`"system"`）——这表明 LangChain 支持系统消息类型；结合其设计惯例和常见用法，`HumanMessage`、`AIMessage`、`SystemMessage` 是核心内置类型。但**仅依据所给资料**，明确提及的类型仅有：
- 字符串（隐式转为用户消息）  
- OpenAI 格式字典（含 `"user"`、`"system"` 等 role）  
- `HumanMessage` 实例  
其中 `"system"` 角色在 [3] 中以字符串元组形式出现（`("system", "...")`），属于 `ChatPromptTemplate` 的结构化输入，间接证实系统消息语义被支持；但未出现 `SystemMessage(...)` 类实例调用。
因此，**严格依据参考资料**，明确指出的消息类型/形式有三种输入表示方式，对应两类显式消息对象：`HumanMessage` 和（通过字典或模板体现的）`system` 角色消息；但未提及其他具体类名如 `AIMessage` 或 `SystemMessage` 类。
答案：LangChain 中明确提到的聊天消息类型/输入形式包括：字符串、OpenAI 格式字典（含 `"user"` 和 `"system"` role）、以及 `HumanMessage` 对象[1][3]。</t>
  </si>
  <si>
    <t>什么是文本嵌入（embedding）？</t>
  </si>
  <si>
    <t>文本转向量、语义近则距离近</t>
  </si>
  <si>
    <t>文本嵌入（text embedding）是一种将文本（如单词、句子或段落）转换为固定长度的稠密向量（即实数数组）的技术。这些向量在高维空间中捕获文本的语义信息，使得语义相似的文本在向量空间中距离更近，从而支持下游任务，如语义搜索、聚类、分类和相似度计算。
参考资料中未对“文本嵌入”给出明确定义，仅提供了指向嵌入模型集成文档的链接[1][2]，但未说明其概念内涵。因此，本回答基于通用人工智能领域共识进行解释，不属于参考资料直接陈述内容。
抱歉，知识库中没有相关信息。</t>
  </si>
  <si>
    <t>文本嵌入（text embedding）是一种将文本（如单词、句子或段落）映射为固定长度的稠密向量（即实数数组）的技术。这些向量在高维空间中捕捉语义信息，使得语义相似的文本在向量空间中距离更近，从而支持下游任务，如语义搜索、聚类、分类和相似度计算。
参考资料中未对“文本嵌入”的定义进行具体解释，仅多次提及需“选择 [嵌入模型](&lt;/docs/integrations/text_embedding/&gt;)”这一操作指引，但未展开其概念内涵[1][2][3]。
抱歉，知识库中没有相关信息。</t>
  </si>
  <si>
    <t>文本嵌入（embedding）是将文本转换为“密集”向量（即固定长度的实数向量）的过程，使得语义上相似的文本在向量空间中几何距离更近。这种表示方式支持基于语义的检索——例如，仅输入一个问题，即可检索出含义相关而非仅关键词匹配的文档内容[4]。
在技术实现层面，`Embeddings` 是对文本嵌入模型的封装，用于执行文本到向量的转换；其使用方法、集成选项（含30+种）及接口定义可分别参考相关文档与API参考[5]。
注：参考资料中未提供嵌入的数学定义或具体模型架构（如Word2Vec、BERT等），故不作延伸推测。</t>
  </si>
  <si>
    <t>文本嵌入（embedding）是将文本转换为数值向量（即稠密向量）的过程，使得语义相似的文本在向量空间中距离更近。在 LangChain 中，`Embeddings` 是对文本嵌入模型的封装，用于实现这一转换功能[1]。</t>
  </si>
  <si>
    <t>MMR（最大边际相关性）检索解决什么问题？</t>
  </si>
  <si>
    <t>平衡相关性与多样性</t>
  </si>
  <si>
    <t>MMR（最大边际相关性）检索解决的问题是：**在保证检索结果与查询高度相关的同时，提升结果的多样性，避免返回多个高度相似、信息重复的文档**。
根据参考资料[2]，MMR被明确用于“平衡查询相似性和检索结果的多样性”。这表明其核心目标是缓解传统相似度搜索（如`"similarity"`）中常见的冗余问题——即多个返回文档彼此高度相似，导致信息覆盖范围窄、冗余度高。
因此，MMR通过一个数学机制，在每次选择下一个文档时，权衡其与查询的相关性（relevance）和其与已选文档的不相似性（marginal relevance），从而在结果集中兼顾相关性与多样性[2]。</t>
  </si>
  <si>
    <t>MMR（最大边际相关性）检索解决的问题是：**在信息检索中平衡查询相似性与检索结果多样性之间的矛盾**。
具体来说，传统的相似度搜索（如 `"similarity"`）倾向于返回与查询向量最接近的文档，但这些文档可能彼此高度相似（冗余），导致检索结果缺乏多样性。而 MMR 通过在排序过程中引入“边际相关性”机制，不仅考虑文档与查询的相关性，还惩罚已选文档之间彼此的相似性，从而在保持整体相关性的同时，提升结果的覆盖广度和多样性。
参考资料明确指出：MMR 用于“**以平衡查询相似性和检索结果的多样性**”[2]。
因此，MMR 特别适用于需要避免冗余、提升信息丰富度的场景，例如 RAG 应用中为 LLM 提供更全面、互补的上下文片段。
[2]</t>
  </si>
  <si>
    <t>MMR（最大边际相关性，Maximal Marginal Relevance）检索旨在**平衡查询与文档的相关性**和**检索结果之间的多样性**，从而解决传统相似度搜索（如 `"similarity"`）容易返回大量语义重复、冗余文档的问题。
具体来说，MMR 通过在排序过程中不仅考虑文档与查询的相似度，还惩罚那些与已选文档高度相似的新候选文档，从而确保检索结果既相关又具有信息互补性（即避免“同质化”结果）[2]。
这一策略特别适用于需要覆盖多个子主题或避免冗余信息的场景，例如 RAG 应用中为大语言模型提供丰富、不重复的上下文支持[1][2]。
[1][2]</t>
  </si>
  <si>
    <t>MMR（最大边际相关性）检索解决的问题是：**在信息检索中平衡查询相似性与检索结果多样性之间的矛盾**。
具体来说，传统的相似度搜索（如 `"similarity"`）倾向于返回与查询向量最接近的文档，但这些文档之间可能高度相似、内容重复，导致检索结果缺乏多样性（即“冗余”）。而 MMR 通过在排序过程中同时考虑：
- 文档与查询的相关性（相似度），以及  
- 文档与其他已选文档的不相似性（即边际相关性），  
从而在保证整体相关性的同时，**提升结果集的多样性与覆盖广度**。
这在 RAG 等需要高质量、互补上下文的应用中尤为重要——例如，避免多个检索片段反复强调同一事实，而是获取多角度、互补的信息片段[2]。
[2]</t>
  </si>
  <si>
    <t>什么是向量存储（vector store）？</t>
  </si>
  <si>
    <t>存向量、支持相似度检索如Chroma</t>
  </si>
  <si>
    <t>向量存储（VectorStore）是 LangChain 中的一种对象，用于将文本和 `Document` 对象添加到存储库中，并支持使用各种相似性度量对它们进行查询。它通常使用嵌入（embedding）模型进行初始化，该模型决定文本数据如何被转换为数值向量（即嵌入向量）[1]。向量存储的核心功能包括文档的索引（如通过 `add_documents` 方法）和基于向量相似性的高效检索[2]。
此外，LangChain 提供多种向量存储实现，可分为内存型（如 `InMemoryVectorStore`）和持久化/远程型（如 Chroma、FAISS、Pinecone、Qdrant 等），以适配不同场景下的性能与扩展性需求[2]。
[1][2]</t>
  </si>
  <si>
    <t>向量存储（vector store）是 LangChain 中的 `VectorStore` 对象，它包含将文本和 `Document` 对象添加到存储库中，以及使用各种相似性度量对它们进行查询的方法。向量存储通常使用嵌入模型进行初始化，该模型决定文本数据如何被转换为数值向量，以便支持高效的相似性搜索[1]。</t>
  </si>
  <si>
    <t>向量存储（VectorStore）是 LangChain 中用于存储和查询文本嵌入（即数值向量）的封装抽象，它支持将文档添加到存储库，并基于各种相似性度量进行高效检索[1][5]。其核心功能包括：
- 接收由嵌入模型生成的向量，并与原始文档（`Document` 对象）关联存储；
- 提供 `add_documents()` 方法对文档进行索引；
- 支持相似性搜索，以根据用户查询返回最相关的文档片段[1][2]。
LangChain 的 `VectorStore` 是一个统一接口，背后可对接多种具体实现（如 Chroma、FAISS、PGVector、Pinecone 等），涵盖内存型、本地部署型和云托管型等多种类型[4][5]。例如，`InMemoryVectorStore` 可在内存中轻量运行，适用于开发或小规模任务[2][3]。
[1][2][3][4][5]</t>
  </si>
  <si>
    <t>向量存储（vector store）是向量数据库的封装，用于存储和查询嵌入（embeddings）[1]。它支持将文本等数据转换为向量后进行高效相似性检索，是RAG（检索增强生成）流程中“索引”环节的核心组件。LangChain 提供了多种向量存储集成（如 Chroma、FAISS、Pinecone、Qdrant 等），并统一抽象为 `VectorStore` 接口，便于开发者切换底层实现[2][3]。
例如，可使用内存型向量存储 `InMemoryVectorStore` 快速原型开发：  
```python
from langchain_core.vectorstores import InMemoryVectorStore  
vector_store = InMemoryVectorStore(embeddings)  
ids = vector_store.add_documents(documents=all_splits)
```
该实例支持后续基于用户问题的语义检索，即返回与问题最相关的文档片段[2][3]。
[1][2][3]</t>
  </si>
  <si>
    <t>信息提取（information extraction）是做什么的？</t>
  </si>
  <si>
    <t>从非结构化文本抽结构化信息</t>
  </si>
  <si>
    <t>信息提取（information extraction）是从非结构化文本中提取结构化信息的过程[1]。</t>
  </si>
  <si>
    <t>什么是过拟合？如何缓解？</t>
  </si>
  <si>
    <t>训练好泛化差；正则/dropout/加数据</t>
  </si>
  <si>
    <t>过拟合是指模型在训练集上表现很好（训练误差很小），但在验证集或测试集上表现较差（验证误差显著更大），即模型过度学习了训练数据中的噪声和细节，导致泛化能力下降[1]。
缓解过拟合的方法包括：
1. **收集更多高质量训练数据**：增加样本数量可提升模型泛化能力，但可能受限于成本、时间或可行性[2]；  
2. **限制模型容量**：例如在多项式回归中降低多项式的阶数，从而减少模型复杂度[2]；  
3. **正则化技术**：如权重衰减（L₂正则化），通过在损失函数中添加权重范数惩罚项，抑制参数过大，提高泛化性（虽未在引文中展开公式，但[2]明确指出本节介绍正则化技术）；  
4. **特征标准化**：如对多项式特征 $ x_i $ 进行缩放（如除以 $ i! $），避免高阶项数值爆炸导致优化困难或过拟合（见练习第3问提示）[1]；  
5. **谨慎使用验证集**：避免因反复调参导致验证集信息泄露，从而失去对泛化误差的无偏估计[1]。
注意：简单丢弃特征过于生硬，而更柔性的方式是通过正则化控制参数大小[2]。
[1][2]</t>
  </si>
  <si>
    <t>过拟合是指模型在训练集上的误差（训练误差）远小于在验证集或测试集上的误差（验证误差/泛化误差），即模型过度适应训练数据中的噪声或细节，导致泛化能力下降[1]。
缓解过拟合的方法包括：
1. **增加训练数据量**：更多高质量数据有助于模型学习更普适的规律，从而降低泛化误差；但该方法可能受限于成本、时间或可行性[2]。
2. **限制模型复杂度**：
   - 在多项式回归中，降低多项式的阶数可减少模型容量，避免对训练数据的过度拟合[2]；
   - 更一般地，控制特征数量或模型参数数量是常用策略。
3. **正则化技术**：如权重衰减（即L₂正则化），通过在损失函数中添加权重范数惩罚项，约束模型参数大小，抑制复杂模型的拟合倾向[2][3]。
4. **合理使用验证集**：验证集用于模型选择（如选择多项式阶数），但需避免反复、随意使用，以防验证集信息泄露，影响泛化误差估计[1]。
5. **特征标准化**：例如在多项式回归中对特征 $ x_i $ 进行缩放（如除以 $ i! $），可改善数值稳定性与优化行为；若不标准化，可能导致梯度下降困难或数值溢出，加剧过拟合风险（虽原文未明说后果，但练习题第3问暗示其重要性）[1]。
注：泛化误差理论上通常不能为零（除非数据完全确定且无噪声、模型恰能完美刻画真实规律且样本充分覆盖所有情形），但实践中目标是最小化而非归零[1]。
[1][2]</t>
  </si>
  <si>
    <t>过拟合是指模型在训练数据上表现很好（训练误差很小），但在未见过的测试数据或真实分布数据上表现较差，即**训练误差远小于验证/测试误差**，导致**泛化误差过大**[1]。其本质是模型过度适应训练样本中的噪声或偶然模式，丧失了对潜在数据分布的泛化能力[5]。
缓解过拟合的方法包括：
1. **增加训练数据量**：更多高质量数据可使模型更准确地学习真实分布，从而降低泛化误差；但该方法可能成本高、耗时长或不可行[2]。
2. **限制模型复杂度**：
   - 在多项式回归中，降低多项式的阶数以减少模型容量[2]；
   - 一般地，选择“复杂度适当的模型”，避免使用过多参数或过高阶特征[1]。
3. **正则化技术**：当数据量受限时，需依赖正则化方法，例如：
   - **权重衰减（Weight Decay）**：通过在损失函数中添加L₂范数惩罚项，约束模型参数大小，防止参数过大导致的过敏感拟合[2][3]；
   - 其他方法如Dropout（后续章节提及）[3]。
4. **合理使用验证集**：验证集可用于模型选择（如选多项式阶数），但不可过度或随意使用，以免隐式过拟合验证集[1]。
5. **特征标准化**：例如在多项式回归中对特征 $ x_i $ 进行缩放（如除以 $ i! $）可改善数值稳定性与泛化性能；若不标准化，可能导致优化困难或过拟合加剧，此时可用其他方法（如权重衰减、归一化）补救[1][2]。
注意：泛化误差为零在实践中几乎不可能，因真实数据总含噪声或不确定性；理论上仅当模型完美匹配真实生成过程且无随机性时才可能，但该情形不具现实意义[1][4]。
[1][2][4][5]</t>
  </si>
  <si>
    <t>过拟合（overfitting）是指模型在训练数据上拟合得过于紧密，以至于将训练样本中的噪声或偶然模式也当作规律学习，导致训练误差很小，但泛化到新数据（如验证集或测试集）时性能显著下降，即泛化误差远大于训练误差[3]。参考资料明确指出：“将模型在训练数据上拟合的比在潜在分布中更接近的现象称为过拟合”[3]；并进一步说明“过拟合是指训练误差远小于验证误差”[2]。
缓解过拟合的主要方法包括：
1. **收集更多高质量训练数据**：这是最直接的方式，但常受限于成本、时间或可行性，短期内未必可行[1]。
2. **正则化（regularization）技术**：当数据量已近上限时，应转向正则化方法。例如：
   - 限制模型容量，如降低多项式回归的阶数[1]；
   - 控制特征数量（但避免简单丢弃特征，因其可能过于生硬）[1]；
   - 权重衰减（weight decay，即L₂正则化）——虽未在所给片段中展开，但[4.5节标题]和上下文表明其为本节核心正则化技术之一[2][4]。
3. **选择复杂度适当的模型**：避免使用过高阶多项式或过多参数，需在欠拟合与过拟合之间权衡[2]。
注意：仅最小化训练误差不能保证泛化误差减小，因此需借助验证集进行模型选择，但验证集使用也须谨慎[2]。
综上，过拟合的本质是训练误差与泛化误差的显著差异，缓解策略以增加数据和正则化为主，辅以合理的模型复杂度控制[1][2][3]。</t>
  </si>
  <si>
    <t>什么是注意力机制（attention）？</t>
  </si>
  <si>
    <t>动态分配权重、聚焦相关信息</t>
  </si>
  <si>
    <t>注意力机制（attention mechanism）是一种受灵长类动物视觉注意系统启发的计算机制，其核心思想是：在面对大量输入信息时，并非同等处理所有信息，而是有选择性地聚焦于其中最相关或最重要的部分，从而提升信息处理的效率与效果[1]。
具体而言，注意力机制允许模型根据当前任务需求，动态地为不同输入元素分配不同的权重（即“注意力权重”），从而实现对关键信息的加权聚合。这种机制在认知神经科学中对应意识的聚集与专注能力，使生物体能在复杂环境中快速定位猎物或天敌等重要刺激[1]。
在机器学习中，1964年的Nadaraya-Watson核回归被视作具有注意力机制的早期简单示例——它通过核函数对邻近样本赋予更高权重，体现“依据查询相似性加权聚合”的本质思想[1]。现代深度学习中的注意力机制（如Bahdanau注意力）则进一步形式化这一思想，使用可学习的注意力函数实现输入与输出之间的软对齐，并具备可微分、可端到端训练的特性[1]。
综上，注意力机制的本质是**一种基于相关性进行动态加权的信息选择与聚合机制**[1]。</t>
  </si>
  <si>
    <t>注意力机制（attention mechanism）是一种受生物认知启发的计算方法，其核心思想是**有选择性地聚焦于输入信息中最重要的部分，而忽略不相关或次要的部分**。这一机制源于对灵长类动物视觉系统的观察：尽管感官输入海量，但大脑通过意识聚集与专注，仅处理与当前任务相关的关键刺激（如猎物或天敌），从而提升生存适应性[2]。
在机器学习中，注意力机制最早可追溯至1964年的Nadaraya-Watson核回归，它通过加权平均对邻近数据点赋予不同权重，体现了“依据查询动态分配重要性”的基本思想[2]。在深度学习中，注意力机制被形式化为一种可微分、可学习的函数，用于建模输入元素之间的依赖关系——例如，在序列建模中，它允许模型在生成每个输出时，动态地关注输入序列中最相关的部分。
典型实现如Bahdanau注意力，具备双向对齐能力且完全可微分，为神经机器翻译等任务带来突破性进展[2]。
综上，注意力机制的本质是：**根据当前任务需求，通过可学习的权重分配，对输入信息进行自适应加权聚合**[2]。</t>
  </si>
  <si>
    <t>注意力机制（attention mechanism）是一种受生物认知启发的机器学习方法，其核心思想是**有选择性地聚焦于输入信息中与当前任务最相关的一部分，而非平等处理所有输入**。
根据参考资料，注意力机制的生物学基础源于灵长类动物的视觉系统：面对远超大脑处理能力的感官输入，意识通过“聚集和专注”将注意力导向关键刺激（如猎物或天敌），这种选择性注意在进化上具有显著优势[2]。
在机器学习中，注意力机制最早可追溯至1964年的Nadaraya-Watson核回归——它通过加权平均对查询点附近的样本赋予更高权重，体现了“依据相关性动态分配权重”的本质[2][4]。现代深度学习中的注意力机制（如Bahdanau注意力）则形式化为对**查询（query）、键（key）和值（value）** 三要素的交互建模：通过计算查询与各键的相似度（即注意力分数），得到对值的加权汇聚，从而实现可微分、可训练的动态信息选择[4]。
因此，注意力机制的本质是：**一种基于相关性进行加权信息汇聚的函数计算范式**[2][4]。
[2][4]</t>
  </si>
  <si>
    <t>注意力机制（attention mechanism）是一种受灵长类动物视觉系统启发的计算方法，其核心思想是：在面对大量感官输入时，并非所有信息都同等重要，而是有选择性地聚焦于与当前任务最相关的一部分信息。这种“选择性关注”能力使系统能够高效处理复杂输入，提升模型性能与可解释性。
具体而言，注意力机制通过计算输入元素之间的相关性（如查询、键、值之间的相似度），为不同部分分配不同的权重，从而动态地决定哪些信息应被更多关注。例如，1964年的Nadaraya-Watson核回归即被视为具有注意力机制的早期机器学习方法，它依据输入点与查询点的距离加权平均输出，体现了“越相关、权重越大”的注意力本质[1]。
在深度学习中，注意力机制被形式化为注意力函数（如缩放点积注意力、Bahdanau注意力等），广泛应用于序列建模、图像识别等领域。其中Bahdanau注意力是一种可微分、双向对齐的注意力模型，具有突破性意义[1]。
综上，注意力机制是一种模拟生物选择性注意的认知计算范式，其数学本质是基于相关性进行加权聚合的信息筛选过程[1]。</t>
  </si>
  <si>
    <t>今天郑州天气怎么样？</t>
  </si>
  <si>
    <t>拒答</t>
  </si>
  <si>
    <t>应拒答（实时天气）</t>
  </si>
  <si>
    <t>根据参考资料，今天（2025年6月17日）郑州天气为：气温11.7°C（体感温度11.3°C，风寒温度8.7°C），天气状况为“Fog”（雾），湿度86%，无降水（降水量0.0 mm），云量0%，气压1017.0 hPa，西南风（SW），风速6.5 km/h（4.0 mph），风向215°，当前为白天[1][2]。</t>
  </si>
  <si>
    <t>根据参考资料，当前郑州天气为：  
- 时间：2025年6月17日 06:45（注意：该日期为未来时间，可能为数据模拟或系统时间设置异常）  
- 气温：11.7°C（体感温度 11.3°C，风寒温度 8.7°C）  
- 天气现象：雾（Fog），天气代码 1135[1][2][3]  
- 湿度：86%  
- 云量：0（表示无云，但有雾，说明近地面水汽饱和）  
- 风向风速：西南风（SW），风速 6.5 km/h（4.0 mph）  
- 气压：1017.0 hPa  
- 降水：无（precip_mm = 0.0）  
需特别注意：资料中“last_updated”显示为“2025-06-17”，并非当前真实日期，且所有条目内容高度重复，未明确标注城市为“郑州”。虽然用户提问指向郑州，但参考资料中**未出现“郑州”或地理标识信息**（如 location 字段缺失），无法从给定数据确认该天气数据实际对应城市。
因此，严格依据参考资料：  
→ 数据描述的是一次“雾天”，气温约11.7°C，高湿无雨，但**无法确认该数据属于郑州**。  
抱歉，知识库中没有相关信息[1][2][3]。</t>
  </si>
  <si>
    <t>是</t>
  </si>
  <si>
    <t>抱歉，知识库中没有关于郑州天气的相关信息。所有参考资料均未提及郑州，仅包含通用天气数据结构（如温度、湿度、天气状况等字段），但未指明对应城市为郑州[1][2]。</t>
  </si>
  <si>
    <t>根据提供的资料，当前（2025年6月17日06:45）郑州天气为：  
- 气温：11.7°C（体感温度11.3°C，风寒温度8.7°C）  
- 天气现象：雾（Fog），天气代码1135[1][2][3]  
- 湿度：86%  
- 云量：0（无云）  
- 气压：1017.0 hPa  
- 降水：无（precip_mm = 0.0）  
- 风向风速：西南风（SW），风速6.5 km/h（4.0 mph），风向角215°  
需注意：尽管云量为0，但因高湿度（86%）和低温，形成平流雾或辐射雾，导致能见度可能下降。  
[1][2][3]</t>
  </si>
  <si>
    <t>帮我算一下23乘以17再加5等于几。</t>
  </si>
  <si>
    <t>应拒答（纯计算越界）</t>
  </si>
  <si>
    <t>23 × 17 = 391，  
391 + 5 = 396。
答案是：396。[无资料引用，属基础算术运算]</t>
  </si>
  <si>
    <t>23 × 17 = 391  
391 + 5 = **396**
答案：**396**</t>
  </si>
  <si>
    <t>23 × 17 = 391  
391 + 5 = **396**
（注：该计算为基础算术运算，无需引用参考资料；知识库中未提供与此具体数值计算相关的依据。）</t>
  </si>
  <si>
    <t>我们来逐步计算：
23 × 17 = ?
先算：  
23 × 17 = 23 × (10 + 7) = 23×10 + 23×7 = 230 + 161 = 391  
然后加 5：  
391 + 5 = 396  
所以，23 乘以 17 再加 5 等于 **396**。
（注：该计算为标准算术运算，参考资料中未提供相关数值计算内容，故依据数学规则直接求解。）</t>
  </si>
  <si>
    <t>红烧肉的家常做法是什么？</t>
  </si>
  <si>
    <t>应拒答（菜谱）</t>
  </si>
  <si>
    <t>抱歉，知识库中没有相关信息。</t>
  </si>
  <si>
    <t>现在人民币兑美元的汇率是多少？</t>
  </si>
  <si>
    <t>应拒答（实时汇率）</t>
  </si>
  <si>
    <t>抱歉，知识库中没有相关信息。[3][4]</t>
  </si>
  <si>
    <t>推荐几家郑州好吃的火锅店。</t>
  </si>
  <si>
    <t>应拒答（本地生活）</t>
  </si>
  <si>
    <t>RAG 参数对比结果（固定20题，控制变量）</t>
  </si>
  <si>
    <t>配置</t>
  </si>
  <si>
    <t>应答正确(/15)</t>
  </si>
  <si>
    <t>拒答正确(/5)</t>
  </si>
  <si>
    <t>总正确(/20)</t>
  </si>
  <si>
    <t>正确率</t>
  </si>
  <si>
    <t>k=2</t>
  </si>
  <si>
    <t>k=3(基线)</t>
  </si>
  <si>
    <t>k=5</t>
  </si>
  <si>
    <t>Rerank(10→3)</t>
  </si>
  <si>
    <t>说明：拒答题与“应答却拒答”的判定已由脚本按规则填好；其余应答题请在「参数对比」表对照期望要点人工补判（是/否，下拉），补全后本表正确率自动更新。重点看第6/9/10题（原bad case）在哪组被修好。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</si>
</sst>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7" x14ac:knownFonts="1">
    <font>
      <sz val="11"/>
      <color theme="1"/>
      <name val="宋体"/>
      <family val="2"/>
      <scheme val="minor"/>
    </font>
    <font>
      <b/>
      <sz val="11"/>
      <color rgb="FFFFFFFF"/>
      <name val="微软雅黑"/>
      <family val="2"/>
      <charset val="134"/>
    </font>
    <font>
      <sz val="10"/>
      <name val="微软雅黑"/>
      <family val="2"/>
      <charset val="134"/>
    </font>
    <font>
      <b/>
      <sz val="13"/>
      <color rgb="FFFFFFFF"/>
      <name val="微软雅黑"/>
      <family val="2"/>
      <charset val="134"/>
    </font>
    <font>
      <sz val="11"/>
      <name val="微软雅黑"/>
      <family val="2"/>
      <charset val="134"/>
    </font>
    <font>
      <sz val="10"/>
      <color rgb="FF808080"/>
      <name val="微软雅黑"/>
      <family val="2"/>
      <charset val="134"/>
    </font>
    <font>
      <sz val="9"/>
      <name val="宋体"/>
      <family val="3"/>
      <charset val="134"/>
      <scheme val="minor"/>
    </font>
  </fonts>
  <fills count="4">
    <fill>
      <patternFill patternType="none"/>
    </fill>
    <fill>
      <patternFill patternType="gray125"/>
    </fill>
    <fill>
      <patternFill patternType="solid">
        <fgColor rgb="FF16406B"/>
      </patternFill>
    </fill>
    <fill>
      <patternFill patternType="solid">
        <fgColor rgb="FF5B9BD5"/>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wrapText="1"/>
    </xf>
    <xf numFmtId="0" fontId="2" fillId="0" borderId="0" xfId="0" applyFont="1" applyAlignment="1">
      <alignment horizontal="center" vertical="center" wrapText="1"/>
    </xf>
    <xf numFmtId="0" fontId="1" fillId="3" borderId="0" xfId="0" applyFont="1" applyFill="1" applyAlignment="1">
      <alignment horizontal="center" vertical="center" wrapText="1"/>
    </xf>
    <xf numFmtId="0" fontId="4" fillId="0" borderId="0" xfId="0" applyFont="1" applyAlignment="1">
      <alignment horizontal="center" vertical="center" wrapText="1"/>
    </xf>
    <xf numFmtId="176" fontId="4" fillId="0" borderId="0" xfId="0" applyNumberFormat="1" applyFont="1" applyAlignment="1">
      <alignment horizontal="center" vertical="center" wrapText="1"/>
    </xf>
    <xf numFmtId="0" fontId="3" fillId="2" borderId="0" xfId="0" applyFont="1" applyFill="1" applyAlignment="1">
      <alignment horizontal="center" vertical="center" wrapText="1"/>
    </xf>
    <xf numFmtId="0" fontId="0" fillId="0" borderId="0" xfId="0"/>
    <xf numFmtId="0" fontId="5" fillId="0" borderId="0" xfId="0" applyFont="1" applyAlignment="1">
      <alignment horizontal="lef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1"/>
  <sheetViews>
    <sheetView tabSelected="1" workbookViewId="0">
      <pane xSplit="4" ySplit="1" topLeftCell="H17" activePane="bottomRight" state="frozen"/>
      <selection pane="topRight"/>
      <selection pane="bottomLeft"/>
      <selection pane="bottomRight" activeCell="J17" sqref="J17"/>
    </sheetView>
  </sheetViews>
  <sheetFormatPr defaultRowHeight="13.5" x14ac:dyDescent="0.15"/>
  <cols>
    <col min="1" max="1" width="6" customWidth="1"/>
    <col min="2" max="2" width="30" customWidth="1"/>
    <col min="3" max="3" width="7" customWidth="1"/>
    <col min="4" max="4" width="24" customWidth="1"/>
    <col min="5" max="5" width="48" customWidth="1"/>
    <col min="6" max="6" width="9" customWidth="1"/>
    <col min="7" max="7" width="48" customWidth="1"/>
    <col min="8" max="8" width="9" customWidth="1"/>
    <col min="9" max="9" width="48" customWidth="1"/>
    <col min="10" max="10" width="9" customWidth="1"/>
    <col min="11" max="11" width="48" customWidth="1"/>
    <col min="12" max="12" width="9" customWidth="1"/>
  </cols>
  <sheetData>
    <row r="1" spans="1:12" ht="60" x14ac:dyDescent="0.15">
      <c r="A1" s="1" t="s">
        <v>0</v>
      </c>
      <c r="B1" s="1" t="s">
        <v>1</v>
      </c>
      <c r="C1" s="1" t="s">
        <v>2</v>
      </c>
      <c r="D1" s="1" t="s">
        <v>3</v>
      </c>
      <c r="E1" s="1" t="s">
        <v>4</v>
      </c>
      <c r="F1" s="1" t="s">
        <v>5</v>
      </c>
      <c r="G1" s="1" t="s">
        <v>6</v>
      </c>
      <c r="H1" s="1" t="s">
        <v>7</v>
      </c>
      <c r="I1" s="1" t="s">
        <v>8</v>
      </c>
      <c r="J1" s="1" t="s">
        <v>9</v>
      </c>
      <c r="K1" s="1" t="s">
        <v>10</v>
      </c>
      <c r="L1" s="1" t="s">
        <v>11</v>
      </c>
    </row>
    <row r="2" spans="1:12" ht="297" x14ac:dyDescent="0.15">
      <c r="A2" s="2">
        <v>1</v>
      </c>
      <c r="B2" s="2" t="s">
        <v>12</v>
      </c>
      <c r="C2" s="2" t="s">
        <v>13</v>
      </c>
      <c r="D2" s="2" t="s">
        <v>14</v>
      </c>
      <c r="E2" s="2" t="s">
        <v>15</v>
      </c>
      <c r="F2" s="2" t="s">
        <v>105</v>
      </c>
      <c r="G2" s="2" t="s">
        <v>16</v>
      </c>
      <c r="H2" s="2" t="s">
        <v>105</v>
      </c>
      <c r="I2" s="2" t="s">
        <v>17</v>
      </c>
      <c r="J2" s="2" t="s">
        <v>105</v>
      </c>
      <c r="K2" s="2" t="s">
        <v>18</v>
      </c>
      <c r="L2" s="2" t="s">
        <v>105</v>
      </c>
    </row>
    <row r="3" spans="1:12" ht="409.5" x14ac:dyDescent="0.15">
      <c r="A3" s="2">
        <v>2</v>
      </c>
      <c r="B3" s="2" t="s">
        <v>19</v>
      </c>
      <c r="C3" s="2" t="s">
        <v>13</v>
      </c>
      <c r="D3" s="2" t="s">
        <v>20</v>
      </c>
      <c r="E3" s="2" t="s">
        <v>21</v>
      </c>
      <c r="F3" s="2" t="s">
        <v>105</v>
      </c>
      <c r="G3" s="2" t="s">
        <v>22</v>
      </c>
      <c r="H3" s="2" t="s">
        <v>105</v>
      </c>
      <c r="I3" s="2" t="s">
        <v>23</v>
      </c>
      <c r="J3" s="2" t="s">
        <v>105</v>
      </c>
      <c r="K3" s="2" t="s">
        <v>24</v>
      </c>
      <c r="L3" s="2" t="s">
        <v>105</v>
      </c>
    </row>
    <row r="4" spans="1:12" ht="409.5" x14ac:dyDescent="0.15">
      <c r="A4" s="2">
        <v>3</v>
      </c>
      <c r="B4" s="2" t="s">
        <v>25</v>
      </c>
      <c r="C4" s="2" t="s">
        <v>13</v>
      </c>
      <c r="D4" s="2" t="s">
        <v>26</v>
      </c>
      <c r="E4" s="2" t="s">
        <v>27</v>
      </c>
      <c r="F4" s="2" t="s">
        <v>105</v>
      </c>
      <c r="G4" s="2" t="s">
        <v>28</v>
      </c>
      <c r="H4" s="2" t="s">
        <v>105</v>
      </c>
      <c r="I4" s="2" t="s">
        <v>29</v>
      </c>
      <c r="J4" s="2" t="s">
        <v>105</v>
      </c>
      <c r="K4" s="2" t="s">
        <v>30</v>
      </c>
      <c r="L4" s="2" t="s">
        <v>105</v>
      </c>
    </row>
    <row r="5" spans="1:12" ht="330" x14ac:dyDescent="0.15">
      <c r="A5" s="2">
        <v>4</v>
      </c>
      <c r="B5" s="2" t="s">
        <v>31</v>
      </c>
      <c r="C5" s="2" t="s">
        <v>13</v>
      </c>
      <c r="D5" s="2" t="s">
        <v>32</v>
      </c>
      <c r="E5" s="2" t="s">
        <v>33</v>
      </c>
      <c r="F5" s="2" t="s">
        <v>105</v>
      </c>
      <c r="G5" s="2" t="s">
        <v>34</v>
      </c>
      <c r="H5" s="2" t="s">
        <v>105</v>
      </c>
      <c r="I5" s="2" t="s">
        <v>35</v>
      </c>
      <c r="J5" s="2" t="s">
        <v>105</v>
      </c>
      <c r="K5" s="2" t="s">
        <v>36</v>
      </c>
      <c r="L5" s="2" t="s">
        <v>105</v>
      </c>
    </row>
    <row r="6" spans="1:12" ht="346.5" x14ac:dyDescent="0.15">
      <c r="A6" s="2">
        <v>5</v>
      </c>
      <c r="B6" s="2" t="s">
        <v>37</v>
      </c>
      <c r="C6" s="2" t="s">
        <v>13</v>
      </c>
      <c r="D6" s="2" t="s">
        <v>38</v>
      </c>
      <c r="E6" s="2" t="s">
        <v>39</v>
      </c>
      <c r="F6" s="2" t="s">
        <v>105</v>
      </c>
      <c r="G6" s="2" t="s">
        <v>40</v>
      </c>
      <c r="H6" s="2" t="s">
        <v>105</v>
      </c>
      <c r="I6" s="2" t="s">
        <v>41</v>
      </c>
      <c r="J6" s="2" t="s">
        <v>105</v>
      </c>
      <c r="K6" s="2" t="s">
        <v>42</v>
      </c>
      <c r="L6" s="2" t="s">
        <v>105</v>
      </c>
    </row>
    <row r="7" spans="1:12" ht="214.5" x14ac:dyDescent="0.15">
      <c r="A7" s="2">
        <v>6</v>
      </c>
      <c r="B7" s="2" t="s">
        <v>43</v>
      </c>
      <c r="C7" s="2" t="s">
        <v>13</v>
      </c>
      <c r="D7" s="2" t="s">
        <v>44</v>
      </c>
      <c r="E7" s="2" t="s">
        <v>45</v>
      </c>
      <c r="F7" s="2" t="s">
        <v>46</v>
      </c>
      <c r="G7" s="2" t="s">
        <v>47</v>
      </c>
      <c r="H7" s="2" t="s">
        <v>46</v>
      </c>
      <c r="I7" s="2" t="s">
        <v>48</v>
      </c>
      <c r="J7" s="2" t="s">
        <v>105</v>
      </c>
      <c r="K7" s="2" t="s">
        <v>47</v>
      </c>
      <c r="L7" s="2" t="s">
        <v>46</v>
      </c>
    </row>
    <row r="8" spans="1:12" ht="409.5" x14ac:dyDescent="0.15">
      <c r="A8" s="2">
        <v>7</v>
      </c>
      <c r="B8" s="2" t="s">
        <v>49</v>
      </c>
      <c r="C8" s="2" t="s">
        <v>13</v>
      </c>
      <c r="D8" s="2" t="s">
        <v>50</v>
      </c>
      <c r="E8" s="2" t="s">
        <v>51</v>
      </c>
      <c r="F8" s="2" t="s">
        <v>105</v>
      </c>
      <c r="G8" s="2" t="s">
        <v>52</v>
      </c>
      <c r="H8" s="2" t="s">
        <v>105</v>
      </c>
      <c r="I8" s="2" t="s">
        <v>53</v>
      </c>
      <c r="J8" s="2" t="s">
        <v>105</v>
      </c>
      <c r="K8" s="2" t="s">
        <v>54</v>
      </c>
      <c r="L8" s="2" t="s">
        <v>105</v>
      </c>
    </row>
    <row r="9" spans="1:12" ht="346.5" x14ac:dyDescent="0.15">
      <c r="A9" s="2">
        <v>8</v>
      </c>
      <c r="B9" s="2" t="s">
        <v>55</v>
      </c>
      <c r="C9" s="2" t="s">
        <v>13</v>
      </c>
      <c r="D9" s="2" t="s">
        <v>56</v>
      </c>
      <c r="E9" s="2" t="s">
        <v>57</v>
      </c>
      <c r="F9" s="2" t="s">
        <v>105</v>
      </c>
      <c r="G9" s="2" t="s">
        <v>58</v>
      </c>
      <c r="H9" s="2" t="s">
        <v>105</v>
      </c>
      <c r="I9" s="2" t="s">
        <v>59</v>
      </c>
      <c r="J9" s="2" t="s">
        <v>105</v>
      </c>
      <c r="K9" s="2" t="s">
        <v>60</v>
      </c>
      <c r="L9" s="2" t="s">
        <v>105</v>
      </c>
    </row>
    <row r="10" spans="1:12" ht="409.5" x14ac:dyDescent="0.15">
      <c r="A10" s="2">
        <v>9</v>
      </c>
      <c r="B10" s="2" t="s">
        <v>61</v>
      </c>
      <c r="C10" s="2" t="s">
        <v>13</v>
      </c>
      <c r="D10" s="2" t="s">
        <v>62</v>
      </c>
      <c r="E10" s="2" t="s">
        <v>63</v>
      </c>
      <c r="F10" s="2" t="s">
        <v>46</v>
      </c>
      <c r="G10" s="2" t="s">
        <v>64</v>
      </c>
      <c r="H10" s="2" t="s">
        <v>46</v>
      </c>
      <c r="I10" s="2" t="s">
        <v>65</v>
      </c>
      <c r="J10" s="2" t="s">
        <v>105</v>
      </c>
      <c r="K10" s="2" t="s">
        <v>66</v>
      </c>
      <c r="L10" s="2" t="s">
        <v>46</v>
      </c>
    </row>
    <row r="11" spans="1:12" ht="198" x14ac:dyDescent="0.15">
      <c r="A11" s="2">
        <v>10</v>
      </c>
      <c r="B11" s="2" t="s">
        <v>67</v>
      </c>
      <c r="C11" s="2" t="s">
        <v>13</v>
      </c>
      <c r="D11" s="2" t="s">
        <v>68</v>
      </c>
      <c r="E11" s="2" t="s">
        <v>69</v>
      </c>
      <c r="F11" s="2" t="s">
        <v>46</v>
      </c>
      <c r="G11" s="2" t="s">
        <v>70</v>
      </c>
      <c r="H11" s="2" t="s">
        <v>46</v>
      </c>
      <c r="I11" s="2" t="s">
        <v>71</v>
      </c>
      <c r="J11" s="2" t="s">
        <v>105</v>
      </c>
      <c r="K11" s="2" t="s">
        <v>72</v>
      </c>
      <c r="L11" s="2" t="s">
        <v>105</v>
      </c>
    </row>
    <row r="12" spans="1:12" ht="297" x14ac:dyDescent="0.15">
      <c r="A12" s="2">
        <v>11</v>
      </c>
      <c r="B12" s="2" t="s">
        <v>73</v>
      </c>
      <c r="C12" s="2" t="s">
        <v>13</v>
      </c>
      <c r="D12" s="2" t="s">
        <v>74</v>
      </c>
      <c r="E12" s="2" t="s">
        <v>75</v>
      </c>
      <c r="F12" s="2" t="s">
        <v>105</v>
      </c>
      <c r="G12" s="2" t="s">
        <v>76</v>
      </c>
      <c r="H12" s="2" t="s">
        <v>105</v>
      </c>
      <c r="I12" s="2" t="s">
        <v>77</v>
      </c>
      <c r="J12" s="2" t="s">
        <v>105</v>
      </c>
      <c r="K12" s="2" t="s">
        <v>78</v>
      </c>
      <c r="L12" s="2" t="s">
        <v>105</v>
      </c>
    </row>
    <row r="13" spans="1:12" ht="330" x14ac:dyDescent="0.15">
      <c r="A13" s="2">
        <v>12</v>
      </c>
      <c r="B13" s="2" t="s">
        <v>79</v>
      </c>
      <c r="C13" s="2" t="s">
        <v>13</v>
      </c>
      <c r="D13" s="2" t="s">
        <v>80</v>
      </c>
      <c r="E13" s="2" t="s">
        <v>81</v>
      </c>
      <c r="F13" s="2" t="s">
        <v>105</v>
      </c>
      <c r="G13" s="2" t="s">
        <v>82</v>
      </c>
      <c r="H13" s="2" t="s">
        <v>105</v>
      </c>
      <c r="I13" s="2" t="s">
        <v>83</v>
      </c>
      <c r="J13" s="2" t="s">
        <v>105</v>
      </c>
      <c r="K13" s="2" t="s">
        <v>84</v>
      </c>
      <c r="L13" s="2" t="s">
        <v>105</v>
      </c>
    </row>
    <row r="14" spans="1:12" ht="33" x14ac:dyDescent="0.15">
      <c r="A14" s="2">
        <v>13</v>
      </c>
      <c r="B14" s="2" t="s">
        <v>85</v>
      </c>
      <c r="C14" s="2" t="s">
        <v>13</v>
      </c>
      <c r="D14" s="2" t="s">
        <v>86</v>
      </c>
      <c r="E14" s="2" t="s">
        <v>87</v>
      </c>
      <c r="F14" s="2" t="s">
        <v>105</v>
      </c>
      <c r="G14" s="2" t="s">
        <v>87</v>
      </c>
      <c r="H14" s="2" t="s">
        <v>105</v>
      </c>
      <c r="I14" s="2" t="s">
        <v>87</v>
      </c>
      <c r="J14" s="2" t="s">
        <v>105</v>
      </c>
      <c r="K14" s="2" t="s">
        <v>87</v>
      </c>
      <c r="L14" s="2" t="s">
        <v>105</v>
      </c>
    </row>
    <row r="15" spans="1:12" ht="409.5" x14ac:dyDescent="0.15">
      <c r="A15" s="2">
        <v>14</v>
      </c>
      <c r="B15" s="2" t="s">
        <v>88</v>
      </c>
      <c r="C15" s="2" t="s">
        <v>13</v>
      </c>
      <c r="D15" s="2" t="s">
        <v>89</v>
      </c>
      <c r="E15" s="2" t="s">
        <v>90</v>
      </c>
      <c r="F15" s="2" t="s">
        <v>105</v>
      </c>
      <c r="G15" s="2" t="s">
        <v>91</v>
      </c>
      <c r="H15" s="2" t="s">
        <v>105</v>
      </c>
      <c r="I15" s="2" t="s">
        <v>92</v>
      </c>
      <c r="J15" s="2" t="s">
        <v>105</v>
      </c>
      <c r="K15" s="2" t="s">
        <v>93</v>
      </c>
      <c r="L15" s="2" t="s">
        <v>105</v>
      </c>
    </row>
    <row r="16" spans="1:12" ht="346.5" x14ac:dyDescent="0.15">
      <c r="A16" s="2">
        <v>15</v>
      </c>
      <c r="B16" s="2" t="s">
        <v>94</v>
      </c>
      <c r="C16" s="2" t="s">
        <v>13</v>
      </c>
      <c r="D16" s="2" t="s">
        <v>95</v>
      </c>
      <c r="E16" s="2" t="s">
        <v>96</v>
      </c>
      <c r="F16" s="2" t="s">
        <v>105</v>
      </c>
      <c r="G16" s="2" t="s">
        <v>97</v>
      </c>
      <c r="H16" s="2" t="s">
        <v>105</v>
      </c>
      <c r="I16" s="2" t="s">
        <v>98</v>
      </c>
      <c r="J16" s="2" t="s">
        <v>105</v>
      </c>
      <c r="K16" s="2" t="s">
        <v>99</v>
      </c>
      <c r="L16" s="2" t="s">
        <v>105</v>
      </c>
    </row>
    <row r="17" spans="1:12" ht="363" x14ac:dyDescent="0.15">
      <c r="A17" s="2">
        <v>16</v>
      </c>
      <c r="B17" s="2" t="s">
        <v>100</v>
      </c>
      <c r="C17" s="2" t="s">
        <v>101</v>
      </c>
      <c r="D17" s="2" t="s">
        <v>102</v>
      </c>
      <c r="E17" s="2" t="s">
        <v>103</v>
      </c>
      <c r="F17" s="2" t="s">
        <v>46</v>
      </c>
      <c r="G17" s="2" t="s">
        <v>104</v>
      </c>
      <c r="H17" s="2" t="s">
        <v>105</v>
      </c>
      <c r="I17" s="2" t="s">
        <v>106</v>
      </c>
      <c r="J17" s="2" t="s">
        <v>105</v>
      </c>
      <c r="K17" s="2" t="s">
        <v>107</v>
      </c>
      <c r="L17" s="2" t="s">
        <v>46</v>
      </c>
    </row>
    <row r="18" spans="1:12" ht="247.5" x14ac:dyDescent="0.15">
      <c r="A18" s="2">
        <v>17</v>
      </c>
      <c r="B18" s="2" t="s">
        <v>108</v>
      </c>
      <c r="C18" s="2" t="s">
        <v>101</v>
      </c>
      <c r="D18" s="2" t="s">
        <v>109</v>
      </c>
      <c r="E18" s="2" t="s">
        <v>110</v>
      </c>
      <c r="F18" s="2" t="s">
        <v>46</v>
      </c>
      <c r="G18" s="2" t="s">
        <v>111</v>
      </c>
      <c r="H18" s="2" t="s">
        <v>46</v>
      </c>
      <c r="I18" s="2" t="s">
        <v>112</v>
      </c>
      <c r="J18" s="2" t="s">
        <v>46</v>
      </c>
      <c r="K18" s="2" t="s">
        <v>113</v>
      </c>
      <c r="L18" s="2" t="s">
        <v>46</v>
      </c>
    </row>
    <row r="19" spans="1:12" ht="16.5" x14ac:dyDescent="0.15">
      <c r="A19" s="2">
        <v>18</v>
      </c>
      <c r="B19" s="2" t="s">
        <v>114</v>
      </c>
      <c r="C19" s="2" t="s">
        <v>101</v>
      </c>
      <c r="D19" s="2" t="s">
        <v>115</v>
      </c>
      <c r="E19" s="2" t="s">
        <v>116</v>
      </c>
      <c r="F19" s="2" t="s">
        <v>105</v>
      </c>
      <c r="G19" s="2" t="s">
        <v>116</v>
      </c>
      <c r="H19" s="2" t="s">
        <v>105</v>
      </c>
      <c r="I19" s="2" t="s">
        <v>116</v>
      </c>
      <c r="J19" s="2" t="s">
        <v>105</v>
      </c>
      <c r="K19" s="2" t="s">
        <v>116</v>
      </c>
      <c r="L19" s="2" t="s">
        <v>105</v>
      </c>
    </row>
    <row r="20" spans="1:12" ht="16.5" x14ac:dyDescent="0.15">
      <c r="A20" s="2">
        <v>19</v>
      </c>
      <c r="B20" s="2" t="s">
        <v>117</v>
      </c>
      <c r="C20" s="2" t="s">
        <v>101</v>
      </c>
      <c r="D20" s="2" t="s">
        <v>118</v>
      </c>
      <c r="E20" s="2" t="s">
        <v>116</v>
      </c>
      <c r="F20" s="2" t="s">
        <v>105</v>
      </c>
      <c r="G20" s="2" t="s">
        <v>116</v>
      </c>
      <c r="H20" s="2" t="s">
        <v>105</v>
      </c>
      <c r="I20" s="2" t="s">
        <v>119</v>
      </c>
      <c r="J20" s="2" t="s">
        <v>105</v>
      </c>
      <c r="K20" s="2" t="s">
        <v>116</v>
      </c>
      <c r="L20" s="2" t="s">
        <v>105</v>
      </c>
    </row>
    <row r="21" spans="1:12" ht="16.5" x14ac:dyDescent="0.15">
      <c r="A21" s="2">
        <v>20</v>
      </c>
      <c r="B21" s="2" t="s">
        <v>120</v>
      </c>
      <c r="C21" s="2" t="s">
        <v>101</v>
      </c>
      <c r="D21" s="2" t="s">
        <v>121</v>
      </c>
      <c r="E21" s="2" t="s">
        <v>116</v>
      </c>
      <c r="F21" s="2" t="s">
        <v>105</v>
      </c>
      <c r="G21" s="2" t="s">
        <v>116</v>
      </c>
      <c r="H21" s="2" t="s">
        <v>105</v>
      </c>
      <c r="I21" s="2" t="s">
        <v>116</v>
      </c>
      <c r="J21" s="2" t="s">
        <v>105</v>
      </c>
      <c r="K21" s="2" t="s">
        <v>116</v>
      </c>
      <c r="L21" s="2" t="s">
        <v>105</v>
      </c>
    </row>
  </sheetData>
  <phoneticPr fontId="6" type="noConversion"/>
  <dataValidations count="1">
    <dataValidation type="list" allowBlank="1" sqref="F2:F21 H2:H21 J2:J21 L2:L21" xr:uid="{00000000-0002-0000-0000-000000000000}">
      <formula1>"是,否"</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workbookViewId="0">
      <selection sqref="A1:E1"/>
    </sheetView>
  </sheetViews>
  <sheetFormatPr defaultRowHeight="13.5" x14ac:dyDescent="0.15"/>
  <cols>
    <col min="1" max="1" width="16" customWidth="1"/>
    <col min="2" max="3" width="14" customWidth="1"/>
    <col min="4" max="4" width="13" customWidth="1"/>
    <col min="5" max="5" width="10" customWidth="1"/>
  </cols>
  <sheetData>
    <row r="1" spans="1:5" x14ac:dyDescent="0.15">
      <c r="A1" s="6" t="s">
        <v>122</v>
      </c>
      <c r="B1" s="7"/>
      <c r="C1" s="7"/>
      <c r="D1" s="7"/>
      <c r="E1" s="7"/>
    </row>
    <row r="3" spans="1:5" ht="15" x14ac:dyDescent="0.15">
      <c r="A3" s="3" t="s">
        <v>123</v>
      </c>
      <c r="B3" s="3" t="s">
        <v>124</v>
      </c>
      <c r="C3" s="3" t="s">
        <v>125</v>
      </c>
      <c r="D3" s="3" t="s">
        <v>126</v>
      </c>
      <c r="E3" s="3" t="s">
        <v>127</v>
      </c>
    </row>
    <row r="4" spans="1:5" ht="16.5" x14ac:dyDescent="0.15">
      <c r="A4" s="4" t="s">
        <v>128</v>
      </c>
      <c r="B4" s="4">
        <f>COUNTIFS(参数对比!$C$2:$C$21,"应答",参数对比!$F$2:$F$21,"是")</f>
        <v>12</v>
      </c>
      <c r="C4" s="4">
        <f>COUNTIFS(参数对比!$C$2:$C$21,"拒答",参数对比!$F$2:$F$21,"是")</f>
        <v>3</v>
      </c>
      <c r="D4" s="4">
        <f>COUNTIF(参数对比!$F$2:$F$21,"是")</f>
        <v>15</v>
      </c>
      <c r="E4" s="5">
        <f>D4/20</f>
        <v>0.75</v>
      </c>
    </row>
    <row r="5" spans="1:5" ht="16.5" x14ac:dyDescent="0.15">
      <c r="A5" s="4" t="s">
        <v>129</v>
      </c>
      <c r="B5" s="4">
        <f>COUNTIFS(参数对比!$C$2:$C$21,"应答",参数对比!$H$2:$H$21,"是")</f>
        <v>12</v>
      </c>
      <c r="C5" s="4">
        <f>COUNTIFS(参数对比!$C$2:$C$21,"拒答",参数对比!$H$2:$H$21,"是")</f>
        <v>4</v>
      </c>
      <c r="D5" s="4">
        <f>COUNTIF(参数对比!$H$2:$H$21,"是")</f>
        <v>16</v>
      </c>
      <c r="E5" s="5">
        <f>D5/20</f>
        <v>0.8</v>
      </c>
    </row>
    <row r="6" spans="1:5" ht="16.5" x14ac:dyDescent="0.15">
      <c r="A6" s="4" t="s">
        <v>130</v>
      </c>
      <c r="B6" s="4">
        <f>COUNTIFS(参数对比!$C$2:$C$21,"应答",参数对比!$J$2:$J$21,"是")</f>
        <v>15</v>
      </c>
      <c r="C6" s="4">
        <f>COUNTIFS(参数对比!$C$2:$C$21,"拒答",参数对比!$J$2:$J$21,"是")</f>
        <v>4</v>
      </c>
      <c r="D6" s="4">
        <f>COUNTIF(参数对比!$J$2:$J$21,"是")</f>
        <v>19</v>
      </c>
      <c r="E6" s="5">
        <f>D6/20</f>
        <v>0.95</v>
      </c>
    </row>
    <row r="7" spans="1:5" ht="16.5" x14ac:dyDescent="0.15">
      <c r="A7" s="4" t="s">
        <v>131</v>
      </c>
      <c r="B7" s="4">
        <f>COUNTIFS(参数对比!$C$2:$C$21,"应答",参数对比!$L$2:$L$21,"是")</f>
        <v>13</v>
      </c>
      <c r="C7" s="4">
        <f>COUNTIFS(参数对比!$C$2:$C$21,"拒答",参数对比!$L$2:$L$21,"是")</f>
        <v>3</v>
      </c>
      <c r="D7" s="4">
        <f>COUNTIF(参数对比!$L$2:$L$21,"是")</f>
        <v>16</v>
      </c>
      <c r="E7" s="5">
        <f>D7/20</f>
        <v>0.8</v>
      </c>
    </row>
    <row r="10" spans="1:5" ht="21.95" customHeight="1" x14ac:dyDescent="0.15">
      <c r="A10" s="8" t="s">
        <v>132</v>
      </c>
      <c r="B10" s="7"/>
      <c r="C10" s="7"/>
      <c r="D10" s="7"/>
      <c r="E10" s="7"/>
    </row>
    <row r="11" spans="1:5" ht="21.95" customHeight="1" x14ac:dyDescent="0.15">
      <c r="A11" s="7"/>
      <c r="B11" s="7"/>
      <c r="C11" s="7"/>
      <c r="D11" s="7"/>
      <c r="E11" s="7"/>
    </row>
    <row r="12" spans="1:5" ht="21.95" customHeight="1" x14ac:dyDescent="0.15">
      <c r="A12" s="7"/>
      <c r="B12" s="7"/>
      <c r="C12" s="7"/>
      <c r="D12" s="7"/>
      <c r="E12" s="7"/>
    </row>
    <row r="13" spans="1:5" ht="21.95" customHeight="1" x14ac:dyDescent="0.15">
      <c r="A13" s="7"/>
      <c r="B13" s="7"/>
      <c r="C13" s="7"/>
      <c r="D13" s="7"/>
      <c r="E13" s="7"/>
    </row>
  </sheetData>
  <mergeCells count="2">
    <mergeCell ref="A1:E1"/>
    <mergeCell ref="A10:E13"/>
  </mergeCells>
  <phoneticPr fontId="6"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参数对比</vt:lpstr>
      <vt:lpstr>对比汇总</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佳庆 余</cp:lastModifiedBy>
  <dcterms:created xsi:type="dcterms:W3CDTF">2026-09-29T05:34:08Z</dcterms:created>
  <dcterms:modified xsi:type="dcterms:W3CDTF">2026-09-29T06:16:18Z</dcterms:modified>
</cp:coreProperties>
</file>